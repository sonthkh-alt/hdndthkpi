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Dan" sheetId="1" state="visible" r:id="rId3"/>
    <sheet name="DanhMuc" sheetId="2" state="visible" r:id="rId4"/>
    <sheet name="NhanSu" sheetId="3" state="visible" r:id="rId5"/>
    <sheet name="TieuChiChung" sheetId="4" state="visible" r:id="rId6"/>
    <sheet name="GiaoViec" sheetId="5" state="visible" r:id="rId7"/>
    <sheet name="KPI_TongHop" sheetId="6" state="visible" r:id="rId8"/>
    <sheet name="ThongK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<sst xmlns="http://schemas.openxmlformats.org/spreadsheetml/2006/main" count="412" uniqueCount="232">
  <si>
    <t xml:space="preserve">FILE MÔ PHỎNG ENGINE TÍNH ĐIỂM KPI THEO 3 NHÓM ĐỐI TƯỢNG</t>
  </si>
  <si>
    <t xml:space="preserve">(Theo Quy định số …-QĐ/TU của BTV Tỉnh ủy Thanh Hóa; Nghị định 335/2025/NĐ-CP; Hướng dẫn 02-HD/BTCTW)</t>
  </si>
  <si>
    <t xml:space="preserve">QUY ƯỚC MÀU: chữ XANH = ô nhập liệu; chữ ĐEN = công thức tự tính, không sửa.</t>
  </si>
  <si>
    <t xml:space="preserve">QUY TRÌNH SỬ DỤNG:</t>
  </si>
  <si>
    <t xml:space="preserve">Bước 1 - Sheet 'DanhMuc': danh mục sản phẩm/công việc 3 phần (I: chuyên môn; II: lãnh đạo; III: hỗ trợ) kèm điểm, hệ số quy đổi.</t>
  </si>
  <si>
    <t xml:space="preserve">Bước 2 - Sheet 'NhanSu': khai báo cán bộ, chọn Nhóm (LDQL/CMNV/HTPV) - đây là 'công tắc' quyết định công thức KPI.</t>
  </si>
  <si>
    <t xml:space="preserve">Bước 3 - Sheet 'GiaoViec': mỗi dòng = một nhiệm vụ giao trong kỳ. Nhập SL giao, SL hoàn thành, SL đạt chất lượng, số lần sai sót lớn, SL đạt tiến độ, số lần chậm. Hệ số và các cột quy đổi tự tính.</t>
  </si>
  <si>
    <t xml:space="preserve">Bước 4 - Sheet 'TieuChiChung': nhập điểm tiêu chí chung tự chấm (tối đa 30) và điểm trừ; phiếu áp dụng (Phụ lục 01/02/03) tự hiển thị theo nhóm.</t>
  </si>
  <si>
    <t xml:space="preserve">Bước 5 - Sheet 'KPI_TongHop': với cán bộ LDQL, chọn d, đ, e (100 hoặc 50) theo khoản 2 Điều 7. Các cột a, b, c, KPI, Tổng điểm, Xếp loại tự tính.</t>
  </si>
  <si>
    <t xml:space="preserve">Bước 6 - Sheet 'ThongKe': kiểm soát trần 20% xếp loại Hoàn thành xuất sắc so với số Hoàn thành tốt.</t>
  </si>
  <si>
    <t xml:space="preserve">CÔNG THỨC LÕI:</t>
  </si>
  <si>
    <t xml:space="preserve">a = min(100; Σ SL hoàn thành quy đổi / Σ SL giao quy đổi × 100)</t>
  </si>
  <si>
    <t xml:space="preserve">b = min(100; Σ[(SL đạt CL ngay + 0,75 × SL có sai sót lớn) × hệ số] / Σ SL giao quy đổi × 100) — mỗi sản phẩm sai sót lớn bị trừ 25% điểm chất lượng của chính sản phẩm đó</t>
  </si>
  <si>
    <t xml:space="preserve">c = min(100; Σ[(SL đúng tiến độ + 0,75 × SL hoàn thành chậm) × hệ số] / Σ SL giao quy đổi × 100) — mỗi sản phẩm chậm bị trừ 25% điểm tiến độ của chính sản phẩm đó</t>
  </si>
  <si>
    <t xml:space="preserve">Nhóm CMNV, HTPV:  KPI = (a + b + c) / 3          |          Nhóm LDQL:  KPI = (a + b + c + d + đ + e) / 6</t>
  </si>
  <si>
    <t xml:space="preserve">d, đ, e chỉ nhận 2 mức 100/50, lấy từ kết quả của ĐƠN VỊ (không quy đổi theo danh mục).</t>
  </si>
  <si>
    <t xml:space="preserve">Tổng điểm kỳ = Điểm tiêu chí chung (≤30) + KPI × 70% − Điểm trừ</t>
  </si>
  <si>
    <t xml:space="preserve">Xếp loại: A ≥ 90; B: 70 - &lt;90; C: 50 - &lt;70; D: &lt; 50 (các điều kiện phụ tại Điều 8 kiểm tra thủ công/trong phần mềm).</t>
  </si>
  <si>
    <t xml:space="preserve">Mã SP</t>
  </si>
  <si>
    <t xml:space="preserve">Nhiệm vụ gắn với sản phẩm/công việc đầu ra</t>
  </si>
  <si>
    <t xml:space="preserve">Đơn vị tính</t>
  </si>
  <si>
    <t xml:space="preserve">Phần</t>
  </si>
  <si>
    <t xml:space="preserve">Điểm</t>
  </si>
  <si>
    <t xml:space="preserve">Hệ số quy đổi</t>
  </si>
  <si>
    <t xml:space="preserve">I.01</t>
  </si>
  <si>
    <t xml:space="preserve">Xây dựng chương trình, kế hoạch công tác năm của Thường trực HĐND tỉnh, Đoàn ĐBQH tỉnh</t>
  </si>
  <si>
    <t xml:space="preserve">01 chương trình/kế hoạch</t>
  </si>
  <si>
    <t xml:space="preserve">I</t>
  </si>
  <si>
    <t xml:space="preserve">I.02</t>
  </si>
  <si>
    <t xml:space="preserve">Xây dựng kế hoạch công tác tháng, quý của Văn phòng</t>
  </si>
  <si>
    <t xml:space="preserve">01 kế hoạch</t>
  </si>
  <si>
    <t xml:space="preserve">I.03</t>
  </si>
  <si>
    <t xml:space="preserve">Báo cáo tuần phục vụ giao ban</t>
  </si>
  <si>
    <t xml:space="preserve">01 báo cáo</t>
  </si>
  <si>
    <t xml:space="preserve">I.04</t>
  </si>
  <si>
    <t xml:space="preserve">Báo cáo công tác tháng, quý, 6 tháng, năm</t>
  </si>
  <si>
    <t xml:space="preserve">I.05</t>
  </si>
  <si>
    <t xml:space="preserve">Soạn thảo văn bản hành chính thông thường (đơn vị chuẩn)</t>
  </si>
  <si>
    <t xml:space="preserve">01 văn bản</t>
  </si>
  <si>
    <t xml:space="preserve">I.06</t>
  </si>
  <si>
    <t xml:space="preserve">Tham mưu chương trình, nội dung, tài liệu phiên họp Thường trực HĐND tỉnh</t>
  </si>
  <si>
    <t xml:space="preserve">01 phiên họp</t>
  </si>
  <si>
    <t xml:space="preserve">I.07</t>
  </si>
  <si>
    <t xml:space="preserve">Ghi biên bản phiên họp, cuộc họp</t>
  </si>
  <si>
    <t xml:space="preserve">01 biên bản</t>
  </si>
  <si>
    <t xml:space="preserve">I.08</t>
  </si>
  <si>
    <t xml:space="preserve">Dự thảo thông báo kết luận phiên họp</t>
  </si>
  <si>
    <t xml:space="preserve">01 thông báo</t>
  </si>
  <si>
    <t xml:space="preserve">I.09</t>
  </si>
  <si>
    <t xml:space="preserve">Tham mưu kế hoạch tổ chức kỳ họp; dự kiến chương trình kỳ họp</t>
  </si>
  <si>
    <t xml:space="preserve">01 kỳ họp</t>
  </si>
  <si>
    <t xml:space="preserve">I.10</t>
  </si>
  <si>
    <t xml:space="preserve">Rà soát, biên tập, tổng hợp hồ sơ, tài liệu trình kỳ họp</t>
  </si>
  <si>
    <t xml:space="preserve">01 nội dung/bộ hồ sơ</t>
  </si>
  <si>
    <t xml:space="preserve">I.11</t>
  </si>
  <si>
    <t xml:space="preserve">Dự thảo nghị quyết trình kỳ họp</t>
  </si>
  <si>
    <t xml:space="preserve">01 dự thảo nghị quyết</t>
  </si>
  <si>
    <t xml:space="preserve">I.12</t>
  </si>
  <si>
    <t xml:space="preserve">Tổng hợp ý kiến thảo luận tại tổ, hội trường</t>
  </si>
  <si>
    <t xml:space="preserve">01 báo cáo tổng hợp</t>
  </si>
  <si>
    <t xml:space="preserve">I.13</t>
  </si>
  <si>
    <t xml:space="preserve">Hoàn thiện nghị quyết sau kỳ họp, trình ký chứng thực, phát hành</t>
  </si>
  <si>
    <t xml:space="preserve">01 nghị quyết</t>
  </si>
  <si>
    <t xml:space="preserve">I.14</t>
  </si>
  <si>
    <t xml:space="preserve">Ghi biên bản kỳ họp</t>
  </si>
  <si>
    <t xml:space="preserve">I.15</t>
  </si>
  <si>
    <t xml:space="preserve">Tham mưu kế hoạch, đề cương, quyết định thành lập đoàn giám sát chuyên đề</t>
  </si>
  <si>
    <t xml:space="preserve">01 cuộc giám sát</t>
  </si>
  <si>
    <t xml:space="preserve">I.16</t>
  </si>
  <si>
    <t xml:space="preserve">Tổng hợp báo cáo của cơ quan chịu sự giám sát</t>
  </si>
  <si>
    <t xml:space="preserve">I.17</t>
  </si>
  <si>
    <t xml:space="preserve">Dự thảo báo cáo kết quả giám sát chuyên đề</t>
  </si>
  <si>
    <t xml:space="preserve">I.18</t>
  </si>
  <si>
    <t xml:space="preserve">Dự thảo thông báo kết luận, kiến nghị sau giám sát</t>
  </si>
  <si>
    <t xml:space="preserve">I.19</t>
  </si>
  <si>
    <t xml:space="preserve">Theo dõi, đôn đốc, tổng hợp kết quả thực hiện kiến nghị sau giám sát</t>
  </si>
  <si>
    <t xml:space="preserve">I.20</t>
  </si>
  <si>
    <t xml:space="preserve">Xây dựng kế hoạch tiếp xúc cử tri</t>
  </si>
  <si>
    <t xml:space="preserve">I.21</t>
  </si>
  <si>
    <t xml:space="preserve">Phục vụ hội nghị tiếp xúc cử tri</t>
  </si>
  <si>
    <t xml:space="preserve">01 hội nghị</t>
  </si>
  <si>
    <t xml:space="preserve">I.22</t>
  </si>
  <si>
    <t xml:space="preserve">Báo cáo tổng hợp ý kiến, kiến nghị cử tri trước, sau kỳ họp</t>
  </si>
  <si>
    <t xml:space="preserve">I.23</t>
  </si>
  <si>
    <t xml:space="preserve">Theo dõi, đôn đốc, tổng hợp kết quả giải quyết kiến nghị cử tri</t>
  </si>
  <si>
    <t xml:space="preserve">I.24</t>
  </si>
  <si>
    <t xml:space="preserve">Phục vụ tiếp công dân định kỳ</t>
  </si>
  <si>
    <t xml:space="preserve">01 buổi tiếp</t>
  </si>
  <si>
    <t xml:space="preserve">I.25</t>
  </si>
  <si>
    <t xml:space="preserve">Tiếp nhận, phân loại, đề xuất xử lý đơn</t>
  </si>
  <si>
    <t xml:space="preserve">01 đơn</t>
  </si>
  <si>
    <t xml:space="preserve">I.26</t>
  </si>
  <si>
    <t xml:space="preserve">Dự thảo văn bản chuyển đơn, hướng dẫn công dân</t>
  </si>
  <si>
    <t xml:space="preserve">I.27</t>
  </si>
  <si>
    <t xml:space="preserve">Theo dõi, đôn đốc giải quyết đơn; báo cáo định kỳ tiếp công dân</t>
  </si>
  <si>
    <t xml:space="preserve">I.28</t>
  </si>
  <si>
    <t xml:space="preserve">Kế hoạch lấy ý kiến góp ý dự án luật</t>
  </si>
  <si>
    <t xml:space="preserve">I.29</t>
  </si>
  <si>
    <t xml:space="preserve">Báo cáo tổng hợp ý kiến góp ý dự án luật</t>
  </si>
  <si>
    <t xml:space="preserve">01 báo cáo/dự án</t>
  </si>
  <si>
    <t xml:space="preserve">I.30</t>
  </si>
  <si>
    <t xml:space="preserve">Tham mưu văn bản kiến nghị của Đoàn ĐBQH gửi trung ương</t>
  </si>
  <si>
    <t xml:space="preserve">I.31</t>
  </si>
  <si>
    <t xml:space="preserve">Tiếp nhận, đăng ký, trình chuyển văn bản đến; phát hành văn bản đi</t>
  </si>
  <si>
    <t xml:space="preserve">10 văn bản</t>
  </si>
  <si>
    <t xml:space="preserve">I.32</t>
  </si>
  <si>
    <t xml:space="preserve">Lập hồ sơ công việc, nộp lưu hồ sơ điện tử</t>
  </si>
  <si>
    <t xml:space="preserve">01 hồ sơ</t>
  </si>
  <si>
    <t xml:space="preserve">I.33</t>
  </si>
  <si>
    <t xml:space="preserve">Lập dự toán, thanh quyết toán kinh phí; báo cáo tài chính</t>
  </si>
  <si>
    <t xml:space="preserve">01 bộ chứng từ/báo cáo</t>
  </si>
  <si>
    <t xml:space="preserve">I.34</t>
  </si>
  <si>
    <t xml:space="preserve">Quản trị hạ tầng CNTT, họp không giấy; cập nhật dữ liệu điều hành</t>
  </si>
  <si>
    <t xml:space="preserve">01 tháng vận hành</t>
  </si>
  <si>
    <t xml:space="preserve">II.01</t>
  </si>
  <si>
    <t xml:space="preserve">Chỉ đạo xây dựng, phê duyệt kế hoạch công tác tháng, quý</t>
  </si>
  <si>
    <t xml:space="preserve">01 kế hoạch được duyệt</t>
  </si>
  <si>
    <t xml:space="preserve">II</t>
  </si>
  <si>
    <t xml:space="preserve">II.02</t>
  </si>
  <si>
    <t xml:space="preserve">Chủ trì họp giao ban, phân công, giao nhiệm vụ</t>
  </si>
  <si>
    <t xml:space="preserve">01 cuộc họp</t>
  </si>
  <si>
    <t xml:space="preserve">II.03</t>
  </si>
  <si>
    <t xml:space="preserve">Kiểm tra, cho ý kiến, duyệt/ký văn bản do cấp dưới trình</t>
  </si>
  <si>
    <t xml:space="preserve">01 văn bản được duyệt</t>
  </si>
  <si>
    <t xml:space="preserve">II.04</t>
  </si>
  <si>
    <t xml:space="preserve">Chỉ đạo giải quyết vướng mắc trong lĩnh vực phụ trách</t>
  </si>
  <si>
    <t xml:space="preserve">01 vụ việc</t>
  </si>
  <si>
    <t xml:space="preserve">II.05</t>
  </si>
  <si>
    <t xml:space="preserve">Theo dõi, giám sát tiến độ, chất lượng nhiệm vụ của đơn vị</t>
  </si>
  <si>
    <t xml:space="preserve">01 lượt rà soát/báo cáo</t>
  </si>
  <si>
    <t xml:space="preserve">II.06</t>
  </si>
  <si>
    <t xml:space="preserve">Nhận xét, đánh giá, xếp loại KPI hằng tháng cấp dưới thuộc thẩm quyền</t>
  </si>
  <si>
    <t xml:space="preserve">01 kỳ đánh giá</t>
  </si>
  <si>
    <t xml:space="preserve">II.07</t>
  </si>
  <si>
    <t xml:space="preserve">Đại diện cơ quan làm việc với cơ quan, tổ chức khác</t>
  </si>
  <si>
    <t xml:space="preserve">01 cuộc làm việc</t>
  </si>
  <si>
    <t xml:space="preserve">II.08</t>
  </si>
  <si>
    <t xml:space="preserve">Chủ trì sơ kết, tổng kết chuyên đề thuộc lĩnh vực phụ trách</t>
  </si>
  <si>
    <t xml:space="preserve">01 hội nghị/báo cáo</t>
  </si>
  <si>
    <t xml:space="preserve">III.01</t>
  </si>
  <si>
    <t xml:space="preserve">Phục vụ hậu cần hội nghị, cuộc họp</t>
  </si>
  <si>
    <t xml:space="preserve">01 cuộc</t>
  </si>
  <si>
    <t xml:space="preserve">III</t>
  </si>
  <si>
    <t xml:space="preserve">III.02</t>
  </si>
  <si>
    <t xml:space="preserve">Lái xe phục vụ lãnh đạo, đoàn công tác</t>
  </si>
  <si>
    <t xml:space="preserve">01 chuyến công tác</t>
  </si>
  <si>
    <t xml:space="preserve">III.03</t>
  </si>
  <si>
    <t xml:space="preserve">Trực bảo vệ cơ quan theo ca</t>
  </si>
  <si>
    <t xml:space="preserve">01 ca trực</t>
  </si>
  <si>
    <t xml:space="preserve">III.04</t>
  </si>
  <si>
    <t xml:space="preserve">Vệ sinh trụ sở, chăm sóc khuôn viên</t>
  </si>
  <si>
    <t xml:space="preserve">01 ngày công định mức</t>
  </si>
  <si>
    <t xml:space="preserve">III.05</t>
  </si>
  <si>
    <t xml:space="preserve">Sửa chữa nhỏ, bảo trì điện, nước, thiết bị</t>
  </si>
  <si>
    <t xml:space="preserve">III.06</t>
  </si>
  <si>
    <t xml:space="preserve">Phục vụ lễ tân, khánh tiết, đón tiếp khách</t>
  </si>
  <si>
    <t xml:space="preserve">01 lượt/sự kiện</t>
  </si>
  <si>
    <t xml:space="preserve">Mã CB</t>
  </si>
  <si>
    <t xml:space="preserve">Họ và tên</t>
  </si>
  <si>
    <t xml:space="preserve">Chức vụ</t>
  </si>
  <si>
    <t xml:space="preserve">Nhóm đối tượng</t>
  </si>
  <si>
    <t xml:space="preserve">Đơn vị</t>
  </si>
  <si>
    <t xml:space="preserve">Lãnh đạo trực tiếp</t>
  </si>
  <si>
    <t xml:space="preserve">CB01</t>
  </si>
  <si>
    <t xml:space="preserve">Nguyễn Văn A</t>
  </si>
  <si>
    <t xml:space="preserve">Chánh Văn phòng</t>
  </si>
  <si>
    <t xml:space="preserve">LDQL</t>
  </si>
  <si>
    <t xml:space="preserve">Lãnh đạo Văn phòng</t>
  </si>
  <si>
    <t xml:space="preserve">CB02</t>
  </si>
  <si>
    <t xml:space="preserve">Trần Thị B</t>
  </si>
  <si>
    <t xml:space="preserve">Trưởng phòng Công tác HĐND</t>
  </si>
  <si>
    <t xml:space="preserve">Phòng Công tác HĐND</t>
  </si>
  <si>
    <t xml:space="preserve">CB03</t>
  </si>
  <si>
    <t xml:space="preserve">Lê Văn C</t>
  </si>
  <si>
    <t xml:space="preserve">Chuyên viên</t>
  </si>
  <si>
    <t xml:space="preserve">CMNV</t>
  </si>
  <si>
    <t xml:space="preserve">CB04</t>
  </si>
  <si>
    <t xml:space="preserve">Phạm Thị D</t>
  </si>
  <si>
    <t xml:space="preserve">CB05</t>
  </si>
  <si>
    <t xml:space="preserve">Hoàng Văn E</t>
  </si>
  <si>
    <t xml:space="preserve">Kế toán</t>
  </si>
  <si>
    <t xml:space="preserve">Phòng HC-TC-QT</t>
  </si>
  <si>
    <t xml:space="preserve">CB06</t>
  </si>
  <si>
    <t xml:space="preserve">Vũ Thị G</t>
  </si>
  <si>
    <t xml:space="preserve">Văn thư</t>
  </si>
  <si>
    <t xml:space="preserve">CB07</t>
  </si>
  <si>
    <t xml:space="preserve">Đỗ Văn H</t>
  </si>
  <si>
    <t xml:space="preserve">Lái xe</t>
  </si>
  <si>
    <t xml:space="preserve">HTPV</t>
  </si>
  <si>
    <t xml:space="preserve">CB08</t>
  </si>
  <si>
    <t xml:space="preserve">Ngô Thị K</t>
  </si>
  <si>
    <t xml:space="preserve">Nhân viên phục vụ</t>
  </si>
  <si>
    <t xml:space="preserve">Nhóm</t>
  </si>
  <si>
    <t xml:space="preserve">Phiếu tiêu chí áp dụng</t>
  </si>
  <si>
    <t xml:space="preserve">Điểm tiêu chí chung tự chấm (≤30)</t>
  </si>
  <si>
    <t xml:space="preserve">Điểm trừ</t>
  </si>
  <si>
    <t xml:space="preserve">Cảnh báo</t>
  </si>
  <si>
    <t xml:space="preserve">Kỳ đánh giá</t>
  </si>
  <si>
    <t xml:space="preserve">SL giao</t>
  </si>
  <si>
    <t xml:space="preserve">SL hoàn thành</t>
  </si>
  <si>
    <t xml:space="preserve">SL đạt chất lượng ngay</t>
  </si>
  <si>
    <t xml:space="preserve">SL có sai sót lớn (trừ 25%/SP)</t>
  </si>
  <si>
    <t xml:space="preserve">SL đúng tiến độ</t>
  </si>
  <si>
    <t xml:space="preserve">SL hoàn thành chậm (trừ 25%/SP)</t>
  </si>
  <si>
    <t xml:space="preserve">Nguồn (KH/ĐX)</t>
  </si>
  <si>
    <t xml:space="preserve">SL giao quy đổi</t>
  </si>
  <si>
    <t xml:space="preserve">SL HT quy đổi</t>
  </si>
  <si>
    <t xml:space="preserve">SL đạt CL quy đổi (đã trừ)</t>
  </si>
  <si>
    <t xml:space="preserve">SL đạt TĐ quy đổi (đã trừ)</t>
  </si>
  <si>
    <t xml:space="preserve">07/2026</t>
  </si>
  <si>
    <t xml:space="preserve">KH</t>
  </si>
  <si>
    <t xml:space="preserve">ĐX</t>
  </si>
  <si>
    <t xml:space="preserve">Kỳ đánh giá:</t>
  </si>
  <si>
    <t xml:space="preserve">a - Số lượng (%)</t>
  </si>
  <si>
    <t xml:space="preserve">b - Chất lượng (%)</t>
  </si>
  <si>
    <t xml:space="preserve">c - Tiến độ (%)</t>
  </si>
  <si>
    <t xml:space="preserve">d (100/50)</t>
  </si>
  <si>
    <t xml:space="preserve">đ (100/50)</t>
  </si>
  <si>
    <t xml:space="preserve">e (100/50)</t>
  </si>
  <si>
    <t xml:space="preserve">Điểm KPI</t>
  </si>
  <si>
    <t xml:space="preserve">Điểm tiêu chí chung</t>
  </si>
  <si>
    <t xml:space="preserve">TỔNG ĐIỂM KỲ</t>
  </si>
  <si>
    <t xml:space="preserve">XẾP LOẠI</t>
  </si>
  <si>
    <t xml:space="preserve">Ghi chú: d, đ, e chỉ nhập với cán bộ nhóm LDQL (khoản 2 Điều 7): d - kết quả đơn vị (100 nếu 100% cấp dưới hoàn thành trở lên, 50 nếu có người không hoàn thành); đ - tổ chức triển khai (100 nếu đủ, đúng hạn, 50 nếu có tồn tại kéo dài); e - đoàn kết (100 nếu không có phản ánh, 50 nếu có khiếu nại mất đoàn kết).</t>
  </si>
  <si>
    <t xml:space="preserve">KIỂM SOÁT CƠ CẤU XẾP LOẠI (khoản 7 Điều 3 Quy định …-QĐ/TU)</t>
  </si>
  <si>
    <t xml:space="preserve">Số cán bộ xếp loại A - Hoàn thành xuất sắc</t>
  </si>
  <si>
    <t xml:space="preserve">Số cán bộ xếp loại B - Hoàn thành tốt</t>
  </si>
  <si>
    <t xml:space="preserve">Số cán bộ xếp loại C - Hoàn thành</t>
  </si>
  <si>
    <t xml:space="preserve">Số cán bộ xếp loại D - Không hoàn thành</t>
  </si>
  <si>
    <t xml:space="preserve">Trần số lượng loại A (= 20% số loại B, làm tròn xuống)</t>
  </si>
  <si>
    <t xml:space="preserve">KẾT LUẬN</t>
  </si>
  <si>
    <t xml:space="preserve">Lưu ý: cơ quan ≤ 05 người được chọn 01 cán bộ xếp loại A nếu đủ điều kiện; đơn vị có thành tích nổi trội có thể được nâng trần theo quyết định của cấp có thẩm quyền.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</si>
</sst>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name val="Times New Roman"/>
      <family val="0"/>
      <charset val="1"/>
    </font>
    <font>
      <sz val="11"/>
      <name val="Times New Roman"/>
      <family val="0"/>
      <charset val="1"/>
    </font>
    <font>
      <b val="true"/>
      <sz val="11"/>
      <color rgb="FFFFFFFF"/>
      <name val="Times New Roman"/>
      <family val="0"/>
      <charset val="1"/>
    </font>
    <font>
      <sz val="11"/>
      <color rgb="FF0000FF"/>
      <name val="Times New Roman"/>
      <family val="0"/>
      <charset val="1"/>
    </font>
    <font>
      <i val="true"/>
      <sz val="11"/>
      <name val="Times New Roman"/>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row>
    <row r="6" customFormat="false" ht="15" hidden="false" customHeight="false" outlineLevel="0" collapsed="false">
      <c r="A6" s="1" t="s">
        <v>3</v>
      </c>
    </row>
    <row r="7" customFormat="false" ht="15" hidden="false" customHeight="false" outlineLevel="0" collapsed="false">
      <c r="A7" s="2" t="s">
        <v>4</v>
      </c>
    </row>
    <row r="8" customFormat="false" ht="15" hidden="false" customHeight="false" outlineLevel="0" collapsed="false">
      <c r="A8" s="2" t="s">
        <v>5</v>
      </c>
    </row>
    <row r="9" customFormat="false" ht="25.35" hidden="false" customHeight="false" outlineLevel="0" collapsed="false">
      <c r="A9" s="2" t="s">
        <v>6</v>
      </c>
    </row>
    <row r="10" customFormat="false" ht="25.35" hidden="false" customHeight="false" outlineLevel="0" collapsed="false">
      <c r="A10" s="2" t="s">
        <v>7</v>
      </c>
    </row>
    <row r="11" customFormat="false" ht="25.3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25.35" hidden="false" customHeight="false" outlineLevel="0" collapsed="false">
      <c r="A16" s="2" t="s">
        <v>12</v>
      </c>
    </row>
    <row r="17" customFormat="false" ht="25.3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2"/>
    <col collapsed="false" customWidth="true" hidden="false" outlineLevel="0" max="3" min="3" style="0" width="22"/>
    <col collapsed="false" customWidth="true" hidden="false" outlineLevel="0" max="5" min="4" style="0" width="8"/>
    <col collapsed="false" customWidth="true" hidden="false" outlineLevel="0" max="6" min="6" style="0" width="12"/>
  </cols>
  <sheetData>
    <row r="1" customFormat="false" ht="25.35" hidden="false" customHeight="false" outlineLevel="0" collapsed="false">
      <c r="A1" s="3" t="s">
        <v>18</v>
      </c>
      <c r="B1" s="3" t="s">
        <v>19</v>
      </c>
      <c r="C1" s="3" t="s">
        <v>20</v>
      </c>
      <c r="D1" s="3" t="s">
        <v>21</v>
      </c>
      <c r="E1" s="3" t="s">
        <v>22</v>
      </c>
      <c r="F1" s="3" t="s">
        <v>23</v>
      </c>
    </row>
    <row r="2" customFormat="false" ht="25.35" hidden="false" customHeight="false" outlineLevel="0" collapsed="false">
      <c r="A2" s="4" t="s">
        <v>24</v>
      </c>
      <c r="B2" s="5" t="s">
        <v>25</v>
      </c>
      <c r="C2" s="4" t="s">
        <v>26</v>
      </c>
      <c r="D2" s="4" t="s">
        <v>27</v>
      </c>
      <c r="E2" s="4" t="n">
        <v>200</v>
      </c>
      <c r="F2" s="4" t="n">
        <v>2</v>
      </c>
    </row>
    <row r="3" customFormat="false" ht="15" hidden="false" customHeight="false" outlineLevel="0" collapsed="false">
      <c r="A3" s="4" t="s">
        <v>28</v>
      </c>
      <c r="B3" s="5" t="s">
        <v>29</v>
      </c>
      <c r="C3" s="4" t="s">
        <v>30</v>
      </c>
      <c r="D3" s="4" t="s">
        <v>27</v>
      </c>
      <c r="E3" s="4" t="n">
        <v>110</v>
      </c>
      <c r="F3" s="4" t="n">
        <v>1.1</v>
      </c>
    </row>
    <row r="4" customFormat="false" ht="15" hidden="false" customHeight="false" outlineLevel="0" collapsed="false">
      <c r="A4" s="4" t="s">
        <v>31</v>
      </c>
      <c r="B4" s="5" t="s">
        <v>32</v>
      </c>
      <c r="C4" s="4" t="s">
        <v>33</v>
      </c>
      <c r="D4" s="4" t="s">
        <v>27</v>
      </c>
      <c r="E4" s="4" t="n">
        <v>100</v>
      </c>
      <c r="F4" s="4" t="n">
        <v>1</v>
      </c>
    </row>
    <row r="5" customFormat="false" ht="15" hidden="false" customHeight="false" outlineLevel="0" collapsed="false">
      <c r="A5" s="4" t="s">
        <v>34</v>
      </c>
      <c r="B5" s="5" t="s">
        <v>35</v>
      </c>
      <c r="C5" s="4" t="s">
        <v>33</v>
      </c>
      <c r="D5" s="4" t="s">
        <v>27</v>
      </c>
      <c r="E5" s="4" t="n">
        <v>160</v>
      </c>
      <c r="F5" s="4" t="n">
        <v>1.6</v>
      </c>
    </row>
    <row r="6" customFormat="false" ht="15" hidden="false" customHeight="false" outlineLevel="0" collapsed="false">
      <c r="A6" s="4" t="s">
        <v>36</v>
      </c>
      <c r="B6" s="5" t="s">
        <v>37</v>
      </c>
      <c r="C6" s="4" t="s">
        <v>38</v>
      </c>
      <c r="D6" s="4" t="s">
        <v>27</v>
      </c>
      <c r="E6" s="4" t="n">
        <v>100</v>
      </c>
      <c r="F6" s="4" t="n">
        <v>1</v>
      </c>
    </row>
    <row r="7" customFormat="false" ht="25.35" hidden="false" customHeight="false" outlineLevel="0" collapsed="false">
      <c r="A7" s="4" t="s">
        <v>39</v>
      </c>
      <c r="B7" s="5" t="s">
        <v>40</v>
      </c>
      <c r="C7" s="4" t="s">
        <v>41</v>
      </c>
      <c r="D7" s="4" t="s">
        <v>27</v>
      </c>
      <c r="E7" s="4" t="n">
        <v>160</v>
      </c>
      <c r="F7" s="4" t="n">
        <v>1.6</v>
      </c>
    </row>
    <row r="8" customFormat="false" ht="15" hidden="false" customHeight="false" outlineLevel="0" collapsed="false">
      <c r="A8" s="4" t="s">
        <v>42</v>
      </c>
      <c r="B8" s="5" t="s">
        <v>43</v>
      </c>
      <c r="C8" s="4" t="s">
        <v>44</v>
      </c>
      <c r="D8" s="4" t="s">
        <v>27</v>
      </c>
      <c r="E8" s="4" t="n">
        <v>110</v>
      </c>
      <c r="F8" s="4" t="n">
        <v>1.1</v>
      </c>
    </row>
    <row r="9" customFormat="false" ht="15" hidden="false" customHeight="false" outlineLevel="0" collapsed="false">
      <c r="A9" s="4" t="s">
        <v>45</v>
      </c>
      <c r="B9" s="5" t="s">
        <v>46</v>
      </c>
      <c r="C9" s="4" t="s">
        <v>47</v>
      </c>
      <c r="D9" s="4" t="s">
        <v>27</v>
      </c>
      <c r="E9" s="4" t="n">
        <v>130</v>
      </c>
      <c r="F9" s="4" t="n">
        <v>1.3</v>
      </c>
    </row>
    <row r="10" customFormat="false" ht="15" hidden="false" customHeight="false" outlineLevel="0" collapsed="false">
      <c r="A10" s="4" t="s">
        <v>48</v>
      </c>
      <c r="B10" s="5" t="s">
        <v>49</v>
      </c>
      <c r="C10" s="4" t="s">
        <v>50</v>
      </c>
      <c r="D10" s="4" t="s">
        <v>27</v>
      </c>
      <c r="E10" s="4" t="n">
        <v>190</v>
      </c>
      <c r="F10" s="4" t="n">
        <v>1.9</v>
      </c>
    </row>
    <row r="11" customFormat="false" ht="15" hidden="false" customHeight="false" outlineLevel="0" collapsed="false">
      <c r="A11" s="4" t="s">
        <v>51</v>
      </c>
      <c r="B11" s="5" t="s">
        <v>52</v>
      </c>
      <c r="C11" s="4" t="s">
        <v>53</v>
      </c>
      <c r="D11" s="4" t="s">
        <v>27</v>
      </c>
      <c r="E11" s="4" t="n">
        <v>140</v>
      </c>
      <c r="F11" s="4" t="n">
        <v>1.4</v>
      </c>
    </row>
    <row r="12" customFormat="false" ht="15" hidden="false" customHeight="false" outlineLevel="0" collapsed="false">
      <c r="A12" s="4" t="s">
        <v>54</v>
      </c>
      <c r="B12" s="5" t="s">
        <v>55</v>
      </c>
      <c r="C12" s="4" t="s">
        <v>56</v>
      </c>
      <c r="D12" s="4" t="s">
        <v>27</v>
      </c>
      <c r="E12" s="4" t="n">
        <v>200</v>
      </c>
      <c r="F12" s="4" t="n">
        <v>2</v>
      </c>
    </row>
    <row r="13" customFormat="false" ht="15" hidden="false" customHeight="false" outlineLevel="0" collapsed="false">
      <c r="A13" s="4" t="s">
        <v>57</v>
      </c>
      <c r="B13" s="5" t="s">
        <v>58</v>
      </c>
      <c r="C13" s="4" t="s">
        <v>59</v>
      </c>
      <c r="D13" s="4" t="s">
        <v>27</v>
      </c>
      <c r="E13" s="4" t="n">
        <v>170</v>
      </c>
      <c r="F13" s="4" t="n">
        <v>1.7</v>
      </c>
    </row>
    <row r="14" customFormat="false" ht="15" hidden="false" customHeight="false" outlineLevel="0" collapsed="false">
      <c r="A14" s="4" t="s">
        <v>60</v>
      </c>
      <c r="B14" s="5" t="s">
        <v>61</v>
      </c>
      <c r="C14" s="4" t="s">
        <v>62</v>
      </c>
      <c r="D14" s="4" t="s">
        <v>27</v>
      </c>
      <c r="E14" s="4" t="n">
        <v>140</v>
      </c>
      <c r="F14" s="4" t="n">
        <v>1.4</v>
      </c>
    </row>
    <row r="15" customFormat="false" ht="15" hidden="false" customHeight="false" outlineLevel="0" collapsed="false">
      <c r="A15" s="4" t="s">
        <v>63</v>
      </c>
      <c r="B15" s="5" t="s">
        <v>64</v>
      </c>
      <c r="C15" s="4" t="s">
        <v>44</v>
      </c>
      <c r="D15" s="4" t="s">
        <v>27</v>
      </c>
      <c r="E15" s="4" t="n">
        <v>130</v>
      </c>
      <c r="F15" s="4" t="n">
        <v>1.3</v>
      </c>
    </row>
    <row r="16" customFormat="false" ht="25.35" hidden="false" customHeight="false" outlineLevel="0" collapsed="false">
      <c r="A16" s="4" t="s">
        <v>65</v>
      </c>
      <c r="B16" s="5" t="s">
        <v>66</v>
      </c>
      <c r="C16" s="4" t="s">
        <v>67</v>
      </c>
      <c r="D16" s="4" t="s">
        <v>27</v>
      </c>
      <c r="E16" s="4" t="n">
        <v>190</v>
      </c>
      <c r="F16" s="4" t="n">
        <v>1.9</v>
      </c>
    </row>
    <row r="17" customFormat="false" ht="15" hidden="false" customHeight="false" outlineLevel="0" collapsed="false">
      <c r="A17" s="4" t="s">
        <v>68</v>
      </c>
      <c r="B17" s="5" t="s">
        <v>69</v>
      </c>
      <c r="C17" s="4" t="s">
        <v>59</v>
      </c>
      <c r="D17" s="4" t="s">
        <v>27</v>
      </c>
      <c r="E17" s="4" t="n">
        <v>130</v>
      </c>
      <c r="F17" s="4" t="n">
        <v>1.3</v>
      </c>
    </row>
    <row r="18" customFormat="false" ht="15" hidden="false" customHeight="false" outlineLevel="0" collapsed="false">
      <c r="A18" s="4" t="s">
        <v>70</v>
      </c>
      <c r="B18" s="5" t="s">
        <v>71</v>
      </c>
      <c r="C18" s="4" t="s">
        <v>33</v>
      </c>
      <c r="D18" s="4" t="s">
        <v>27</v>
      </c>
      <c r="E18" s="4" t="n">
        <v>200</v>
      </c>
      <c r="F18" s="4" t="n">
        <v>2</v>
      </c>
    </row>
    <row r="19" customFormat="false" ht="15" hidden="false" customHeight="false" outlineLevel="0" collapsed="false">
      <c r="A19" s="4" t="s">
        <v>72</v>
      </c>
      <c r="B19" s="5" t="s">
        <v>73</v>
      </c>
      <c r="C19" s="4" t="s">
        <v>38</v>
      </c>
      <c r="D19" s="4" t="s">
        <v>27</v>
      </c>
      <c r="E19" s="4" t="n">
        <v>140</v>
      </c>
      <c r="F19" s="4" t="n">
        <v>1.4</v>
      </c>
    </row>
    <row r="20" customFormat="false" ht="15" hidden="false" customHeight="false" outlineLevel="0" collapsed="false">
      <c r="A20" s="4" t="s">
        <v>74</v>
      </c>
      <c r="B20" s="5" t="s">
        <v>75</v>
      </c>
      <c r="C20" s="4" t="s">
        <v>33</v>
      </c>
      <c r="D20" s="4" t="s">
        <v>27</v>
      </c>
      <c r="E20" s="4" t="n">
        <v>140</v>
      </c>
      <c r="F20" s="4" t="n">
        <v>1.4</v>
      </c>
    </row>
    <row r="21" customFormat="false" ht="15" hidden="false" customHeight="false" outlineLevel="0" collapsed="false">
      <c r="A21" s="4" t="s">
        <v>76</v>
      </c>
      <c r="B21" s="5" t="s">
        <v>77</v>
      </c>
      <c r="C21" s="4" t="s">
        <v>30</v>
      </c>
      <c r="D21" s="4" t="s">
        <v>27</v>
      </c>
      <c r="E21" s="4" t="n">
        <v>130</v>
      </c>
      <c r="F21" s="4" t="n">
        <v>1.3</v>
      </c>
    </row>
    <row r="22" customFormat="false" ht="15" hidden="false" customHeight="false" outlineLevel="0" collapsed="false">
      <c r="A22" s="4" t="s">
        <v>78</v>
      </c>
      <c r="B22" s="5" t="s">
        <v>79</v>
      </c>
      <c r="C22" s="4" t="s">
        <v>80</v>
      </c>
      <c r="D22" s="4" t="s">
        <v>27</v>
      </c>
      <c r="E22" s="4" t="n">
        <v>110</v>
      </c>
      <c r="F22" s="4" t="n">
        <v>1.1</v>
      </c>
    </row>
    <row r="23" customFormat="false" ht="15" hidden="false" customHeight="false" outlineLevel="0" collapsed="false">
      <c r="A23" s="4" t="s">
        <v>81</v>
      </c>
      <c r="B23" s="5" t="s">
        <v>82</v>
      </c>
      <c r="C23" s="4" t="s">
        <v>33</v>
      </c>
      <c r="D23" s="4" t="s">
        <v>27</v>
      </c>
      <c r="E23" s="4" t="n">
        <v>190</v>
      </c>
      <c r="F23" s="4" t="n">
        <v>1.9</v>
      </c>
    </row>
    <row r="24" customFormat="false" ht="15" hidden="false" customHeight="false" outlineLevel="0" collapsed="false">
      <c r="A24" s="4" t="s">
        <v>83</v>
      </c>
      <c r="B24" s="5" t="s">
        <v>84</v>
      </c>
      <c r="C24" s="4" t="s">
        <v>33</v>
      </c>
      <c r="D24" s="4" t="s">
        <v>27</v>
      </c>
      <c r="E24" s="4" t="n">
        <v>160</v>
      </c>
      <c r="F24" s="4" t="n">
        <v>1.6</v>
      </c>
    </row>
    <row r="25" customFormat="false" ht="15" hidden="false" customHeight="false" outlineLevel="0" collapsed="false">
      <c r="A25" s="4" t="s">
        <v>85</v>
      </c>
      <c r="B25" s="5" t="s">
        <v>86</v>
      </c>
      <c r="C25" s="4" t="s">
        <v>87</v>
      </c>
      <c r="D25" s="4" t="s">
        <v>27</v>
      </c>
      <c r="E25" s="4" t="n">
        <v>110</v>
      </c>
      <c r="F25" s="4" t="n">
        <v>1.1</v>
      </c>
    </row>
    <row r="26" customFormat="false" ht="15" hidden="false" customHeight="false" outlineLevel="0" collapsed="false">
      <c r="A26" s="4" t="s">
        <v>88</v>
      </c>
      <c r="B26" s="5" t="s">
        <v>89</v>
      </c>
      <c r="C26" s="4" t="s">
        <v>90</v>
      </c>
      <c r="D26" s="4" t="s">
        <v>27</v>
      </c>
      <c r="E26" s="4" t="n">
        <v>90</v>
      </c>
      <c r="F26" s="4" t="n">
        <v>0.9</v>
      </c>
    </row>
    <row r="27" customFormat="false" ht="15" hidden="false" customHeight="false" outlineLevel="0" collapsed="false">
      <c r="A27" s="4" t="s">
        <v>91</v>
      </c>
      <c r="B27" s="5" t="s">
        <v>92</v>
      </c>
      <c r="C27" s="4" t="s">
        <v>38</v>
      </c>
      <c r="D27" s="4" t="s">
        <v>27</v>
      </c>
      <c r="E27" s="4" t="n">
        <v>100</v>
      </c>
      <c r="F27" s="4" t="n">
        <v>1</v>
      </c>
    </row>
    <row r="28" customFormat="false" ht="15" hidden="false" customHeight="false" outlineLevel="0" collapsed="false">
      <c r="A28" s="4" t="s">
        <v>93</v>
      </c>
      <c r="B28" s="5" t="s">
        <v>94</v>
      </c>
      <c r="C28" s="4" t="s">
        <v>33</v>
      </c>
      <c r="D28" s="4" t="s">
        <v>27</v>
      </c>
      <c r="E28" s="4" t="n">
        <v>140</v>
      </c>
      <c r="F28" s="4" t="n">
        <v>1.4</v>
      </c>
    </row>
    <row r="29" customFormat="false" ht="15" hidden="false" customHeight="false" outlineLevel="0" collapsed="false">
      <c r="A29" s="4" t="s">
        <v>95</v>
      </c>
      <c r="B29" s="5" t="s">
        <v>96</v>
      </c>
      <c r="C29" s="4" t="s">
        <v>30</v>
      </c>
      <c r="D29" s="4" t="s">
        <v>27</v>
      </c>
      <c r="E29" s="4" t="n">
        <v>130</v>
      </c>
      <c r="F29" s="4" t="n">
        <v>1.3</v>
      </c>
    </row>
    <row r="30" customFormat="false" ht="15" hidden="false" customHeight="false" outlineLevel="0" collapsed="false">
      <c r="A30" s="4" t="s">
        <v>97</v>
      </c>
      <c r="B30" s="5" t="s">
        <v>98</v>
      </c>
      <c r="C30" s="4" t="s">
        <v>99</v>
      </c>
      <c r="D30" s="4" t="s">
        <v>27</v>
      </c>
      <c r="E30" s="4" t="n">
        <v>190</v>
      </c>
      <c r="F30" s="4" t="n">
        <v>1.9</v>
      </c>
    </row>
    <row r="31" customFormat="false" ht="15" hidden="false" customHeight="false" outlineLevel="0" collapsed="false">
      <c r="A31" s="4" t="s">
        <v>100</v>
      </c>
      <c r="B31" s="5" t="s">
        <v>101</v>
      </c>
      <c r="C31" s="4" t="s">
        <v>38</v>
      </c>
      <c r="D31" s="4" t="s">
        <v>27</v>
      </c>
      <c r="E31" s="4" t="n">
        <v>160</v>
      </c>
      <c r="F31" s="4" t="n">
        <v>1.6</v>
      </c>
    </row>
    <row r="32" customFormat="false" ht="15" hidden="false" customHeight="false" outlineLevel="0" collapsed="false">
      <c r="A32" s="4" t="s">
        <v>102</v>
      </c>
      <c r="B32" s="5" t="s">
        <v>103</v>
      </c>
      <c r="C32" s="4" t="s">
        <v>104</v>
      </c>
      <c r="D32" s="4" t="s">
        <v>27</v>
      </c>
      <c r="E32" s="4" t="n">
        <v>80</v>
      </c>
      <c r="F32" s="4" t="n">
        <v>0.8</v>
      </c>
    </row>
    <row r="33" customFormat="false" ht="15" hidden="false" customHeight="false" outlineLevel="0" collapsed="false">
      <c r="A33" s="4" t="s">
        <v>105</v>
      </c>
      <c r="B33" s="5" t="s">
        <v>106</v>
      </c>
      <c r="C33" s="4" t="s">
        <v>107</v>
      </c>
      <c r="D33" s="4" t="s">
        <v>27</v>
      </c>
      <c r="E33" s="4" t="n">
        <v>90</v>
      </c>
      <c r="F33" s="4" t="n">
        <v>0.9</v>
      </c>
    </row>
    <row r="34" customFormat="false" ht="15" hidden="false" customHeight="false" outlineLevel="0" collapsed="false">
      <c r="A34" s="4" t="s">
        <v>108</v>
      </c>
      <c r="B34" s="5" t="s">
        <v>109</v>
      </c>
      <c r="C34" s="4" t="s">
        <v>110</v>
      </c>
      <c r="D34" s="4" t="s">
        <v>27</v>
      </c>
      <c r="E34" s="4" t="n">
        <v>130</v>
      </c>
      <c r="F34" s="4" t="n">
        <v>1.3</v>
      </c>
    </row>
    <row r="35" customFormat="false" ht="15" hidden="false" customHeight="false" outlineLevel="0" collapsed="false">
      <c r="A35" s="4" t="s">
        <v>111</v>
      </c>
      <c r="B35" s="5" t="s">
        <v>112</v>
      </c>
      <c r="C35" s="4" t="s">
        <v>113</v>
      </c>
      <c r="D35" s="4" t="s">
        <v>27</v>
      </c>
      <c r="E35" s="4" t="n">
        <v>110</v>
      </c>
      <c r="F35" s="4" t="n">
        <v>1.1</v>
      </c>
    </row>
    <row r="36" customFormat="false" ht="15" hidden="false" customHeight="false" outlineLevel="0" collapsed="false">
      <c r="A36" s="4" t="s">
        <v>114</v>
      </c>
      <c r="B36" s="5" t="s">
        <v>115</v>
      </c>
      <c r="C36" s="4" t="s">
        <v>116</v>
      </c>
      <c r="D36" s="4" t="s">
        <v>117</v>
      </c>
      <c r="E36" s="4" t="n">
        <v>130</v>
      </c>
      <c r="F36" s="4" t="n">
        <v>1.3</v>
      </c>
    </row>
    <row r="37" customFormat="false" ht="15" hidden="false" customHeight="false" outlineLevel="0" collapsed="false">
      <c r="A37" s="4" t="s">
        <v>118</v>
      </c>
      <c r="B37" s="5" t="s">
        <v>119</v>
      </c>
      <c r="C37" s="4" t="s">
        <v>120</v>
      </c>
      <c r="D37" s="4" t="s">
        <v>117</v>
      </c>
      <c r="E37" s="4" t="n">
        <v>110</v>
      </c>
      <c r="F37" s="4" t="n">
        <v>1.1</v>
      </c>
    </row>
    <row r="38" customFormat="false" ht="15" hidden="false" customHeight="false" outlineLevel="0" collapsed="false">
      <c r="A38" s="4" t="s">
        <v>121</v>
      </c>
      <c r="B38" s="5" t="s">
        <v>122</v>
      </c>
      <c r="C38" s="4" t="s">
        <v>123</v>
      </c>
      <c r="D38" s="4" t="s">
        <v>117</v>
      </c>
      <c r="E38" s="4" t="n">
        <v>110</v>
      </c>
      <c r="F38" s="4" t="n">
        <v>1.1</v>
      </c>
    </row>
    <row r="39" customFormat="false" ht="15" hidden="false" customHeight="false" outlineLevel="0" collapsed="false">
      <c r="A39" s="4" t="s">
        <v>124</v>
      </c>
      <c r="B39" s="5" t="s">
        <v>125</v>
      </c>
      <c r="C39" s="4" t="s">
        <v>126</v>
      </c>
      <c r="D39" s="4" t="s">
        <v>117</v>
      </c>
      <c r="E39" s="4" t="n">
        <v>140</v>
      </c>
      <c r="F39" s="4" t="n">
        <v>1.4</v>
      </c>
    </row>
    <row r="40" customFormat="false" ht="15" hidden="false" customHeight="false" outlineLevel="0" collapsed="false">
      <c r="A40" s="4" t="s">
        <v>127</v>
      </c>
      <c r="B40" s="5" t="s">
        <v>128</v>
      </c>
      <c r="C40" s="4" t="s">
        <v>129</v>
      </c>
      <c r="D40" s="4" t="s">
        <v>117</v>
      </c>
      <c r="E40" s="4" t="n">
        <v>120</v>
      </c>
      <c r="F40" s="4" t="n">
        <v>1.2</v>
      </c>
    </row>
    <row r="41" customFormat="false" ht="15" hidden="false" customHeight="false" outlineLevel="0" collapsed="false">
      <c r="A41" s="4" t="s">
        <v>130</v>
      </c>
      <c r="B41" s="5" t="s">
        <v>131</v>
      </c>
      <c r="C41" s="4" t="s">
        <v>132</v>
      </c>
      <c r="D41" s="4" t="s">
        <v>117</v>
      </c>
      <c r="E41" s="4" t="n">
        <v>130</v>
      </c>
      <c r="F41" s="4" t="n">
        <v>1.3</v>
      </c>
    </row>
    <row r="42" customFormat="false" ht="15" hidden="false" customHeight="false" outlineLevel="0" collapsed="false">
      <c r="A42" s="4" t="s">
        <v>133</v>
      </c>
      <c r="B42" s="5" t="s">
        <v>134</v>
      </c>
      <c r="C42" s="4" t="s">
        <v>135</v>
      </c>
      <c r="D42" s="4" t="s">
        <v>117</v>
      </c>
      <c r="E42" s="4" t="n">
        <v>130</v>
      </c>
      <c r="F42" s="4" t="n">
        <v>1.3</v>
      </c>
    </row>
    <row r="43" customFormat="false" ht="15" hidden="false" customHeight="false" outlineLevel="0" collapsed="false">
      <c r="A43" s="4" t="s">
        <v>136</v>
      </c>
      <c r="B43" s="5" t="s">
        <v>137</v>
      </c>
      <c r="C43" s="4" t="s">
        <v>138</v>
      </c>
      <c r="D43" s="4" t="s">
        <v>117</v>
      </c>
      <c r="E43" s="4" t="n">
        <v>160</v>
      </c>
      <c r="F43" s="4" t="n">
        <v>1.6</v>
      </c>
    </row>
    <row r="44" customFormat="false" ht="15" hidden="false" customHeight="false" outlineLevel="0" collapsed="false">
      <c r="A44" s="4" t="s">
        <v>139</v>
      </c>
      <c r="B44" s="5" t="s">
        <v>140</v>
      </c>
      <c r="C44" s="4" t="s">
        <v>141</v>
      </c>
      <c r="D44" s="4" t="s">
        <v>142</v>
      </c>
      <c r="E44" s="4" t="n">
        <v>80</v>
      </c>
      <c r="F44" s="4" t="n">
        <v>0.8</v>
      </c>
    </row>
    <row r="45" customFormat="false" ht="15" hidden="false" customHeight="false" outlineLevel="0" collapsed="false">
      <c r="A45" s="4" t="s">
        <v>143</v>
      </c>
      <c r="B45" s="5" t="s">
        <v>144</v>
      </c>
      <c r="C45" s="4" t="s">
        <v>145</v>
      </c>
      <c r="D45" s="4" t="s">
        <v>142</v>
      </c>
      <c r="E45" s="4" t="n">
        <v>90</v>
      </c>
      <c r="F45" s="4" t="n">
        <v>0.9</v>
      </c>
    </row>
    <row r="46" customFormat="false" ht="15" hidden="false" customHeight="false" outlineLevel="0" collapsed="false">
      <c r="A46" s="4" t="s">
        <v>146</v>
      </c>
      <c r="B46" s="5" t="s">
        <v>147</v>
      </c>
      <c r="C46" s="4" t="s">
        <v>148</v>
      </c>
      <c r="D46" s="4" t="s">
        <v>142</v>
      </c>
      <c r="E46" s="4" t="n">
        <v>80</v>
      </c>
      <c r="F46" s="4" t="n">
        <v>0.8</v>
      </c>
    </row>
    <row r="47" customFormat="false" ht="15" hidden="false" customHeight="false" outlineLevel="0" collapsed="false">
      <c r="A47" s="4" t="s">
        <v>149</v>
      </c>
      <c r="B47" s="5" t="s">
        <v>150</v>
      </c>
      <c r="C47" s="4" t="s">
        <v>151</v>
      </c>
      <c r="D47" s="4" t="s">
        <v>142</v>
      </c>
      <c r="E47" s="4" t="n">
        <v>80</v>
      </c>
      <c r="F47" s="4" t="n">
        <v>0.8</v>
      </c>
    </row>
    <row r="48" customFormat="false" ht="15" hidden="false" customHeight="false" outlineLevel="0" collapsed="false">
      <c r="A48" s="4" t="s">
        <v>152</v>
      </c>
      <c r="B48" s="5" t="s">
        <v>153</v>
      </c>
      <c r="C48" s="4" t="s">
        <v>126</v>
      </c>
      <c r="D48" s="4" t="s">
        <v>142</v>
      </c>
      <c r="E48" s="4" t="n">
        <v>90</v>
      </c>
      <c r="F48" s="4" t="n">
        <v>0.9</v>
      </c>
    </row>
    <row r="49" customFormat="false" ht="15" hidden="false" customHeight="false" outlineLevel="0" collapsed="false">
      <c r="A49" s="4" t="s">
        <v>154</v>
      </c>
      <c r="B49" s="5" t="s">
        <v>155</v>
      </c>
      <c r="C49" s="4" t="s">
        <v>156</v>
      </c>
      <c r="D49" s="4" t="s">
        <v>142</v>
      </c>
      <c r="E49" s="4" t="n">
        <v>90</v>
      </c>
      <c r="F49" s="4" t="n">
        <v>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30"/>
    <col collapsed="false" customWidth="true" hidden="false" outlineLevel="0" max="4" min="4" style="0" width="16"/>
    <col collapsed="false" customWidth="true" hidden="false" outlineLevel="0" max="5" min="5" style="0" width="26"/>
    <col collapsed="false" customWidth="true" hidden="false" outlineLevel="0" max="6" min="6" style="0" width="20"/>
  </cols>
  <sheetData>
    <row r="1" customFormat="false" ht="15" hidden="false" customHeight="false" outlineLevel="0" collapsed="false">
      <c r="A1" s="3" t="s">
        <v>157</v>
      </c>
      <c r="B1" s="3" t="s">
        <v>158</v>
      </c>
      <c r="C1" s="3" t="s">
        <v>159</v>
      </c>
      <c r="D1" s="3" t="s">
        <v>160</v>
      </c>
      <c r="E1" s="3" t="s">
        <v>161</v>
      </c>
      <c r="F1" s="3" t="s">
        <v>162</v>
      </c>
    </row>
    <row r="2" customFormat="false" ht="15" hidden="false" customHeight="false" outlineLevel="0" collapsed="false">
      <c r="A2" s="6" t="s">
        <v>163</v>
      </c>
      <c r="B2" s="7" t="s">
        <v>164</v>
      </c>
      <c r="C2" s="7" t="s">
        <v>165</v>
      </c>
      <c r="D2" s="6" t="s">
        <v>166</v>
      </c>
      <c r="E2" s="7" t="s">
        <v>167</v>
      </c>
      <c r="F2" s="6"/>
    </row>
    <row r="3" customFormat="false" ht="15" hidden="false" customHeight="false" outlineLevel="0" collapsed="false">
      <c r="A3" s="6" t="s">
        <v>168</v>
      </c>
      <c r="B3" s="7" t="s">
        <v>169</v>
      </c>
      <c r="C3" s="7" t="s">
        <v>170</v>
      </c>
      <c r="D3" s="6" t="s">
        <v>166</v>
      </c>
      <c r="E3" s="7" t="s">
        <v>171</v>
      </c>
      <c r="F3" s="6" t="s">
        <v>163</v>
      </c>
    </row>
    <row r="4" customFormat="false" ht="15" hidden="false" customHeight="false" outlineLevel="0" collapsed="false">
      <c r="A4" s="6" t="s">
        <v>172</v>
      </c>
      <c r="B4" s="7" t="s">
        <v>173</v>
      </c>
      <c r="C4" s="7" t="s">
        <v>174</v>
      </c>
      <c r="D4" s="6" t="s">
        <v>175</v>
      </c>
      <c r="E4" s="7" t="s">
        <v>171</v>
      </c>
      <c r="F4" s="6" t="s">
        <v>168</v>
      </c>
    </row>
    <row r="5" customFormat="false" ht="15" hidden="false" customHeight="false" outlineLevel="0" collapsed="false">
      <c r="A5" s="6" t="s">
        <v>176</v>
      </c>
      <c r="B5" s="7" t="s">
        <v>177</v>
      </c>
      <c r="C5" s="7" t="s">
        <v>174</v>
      </c>
      <c r="D5" s="6" t="s">
        <v>175</v>
      </c>
      <c r="E5" s="7" t="s">
        <v>171</v>
      </c>
      <c r="F5" s="6" t="s">
        <v>168</v>
      </c>
    </row>
    <row r="6" customFormat="false" ht="15" hidden="false" customHeight="false" outlineLevel="0" collapsed="false">
      <c r="A6" s="6" t="s">
        <v>178</v>
      </c>
      <c r="B6" s="7" t="s">
        <v>179</v>
      </c>
      <c r="C6" s="7" t="s">
        <v>180</v>
      </c>
      <c r="D6" s="6" t="s">
        <v>175</v>
      </c>
      <c r="E6" s="7" t="s">
        <v>181</v>
      </c>
      <c r="F6" s="6" t="s">
        <v>163</v>
      </c>
    </row>
    <row r="7" customFormat="false" ht="15" hidden="false" customHeight="false" outlineLevel="0" collapsed="false">
      <c r="A7" s="6" t="s">
        <v>182</v>
      </c>
      <c r="B7" s="7" t="s">
        <v>183</v>
      </c>
      <c r="C7" s="7" t="s">
        <v>184</v>
      </c>
      <c r="D7" s="6" t="s">
        <v>175</v>
      </c>
      <c r="E7" s="7" t="s">
        <v>181</v>
      </c>
      <c r="F7" s="6" t="s">
        <v>163</v>
      </c>
    </row>
    <row r="8" customFormat="false" ht="15" hidden="false" customHeight="false" outlineLevel="0" collapsed="false">
      <c r="A8" s="6" t="s">
        <v>185</v>
      </c>
      <c r="B8" s="7" t="s">
        <v>186</v>
      </c>
      <c r="C8" s="7" t="s">
        <v>187</v>
      </c>
      <c r="D8" s="6" t="s">
        <v>188</v>
      </c>
      <c r="E8" s="7" t="s">
        <v>181</v>
      </c>
      <c r="F8" s="6" t="s">
        <v>163</v>
      </c>
    </row>
    <row r="9" customFormat="false" ht="15" hidden="false" customHeight="false" outlineLevel="0" collapsed="false">
      <c r="A9" s="6" t="s">
        <v>189</v>
      </c>
      <c r="B9" s="7" t="s">
        <v>190</v>
      </c>
      <c r="C9" s="7" t="s">
        <v>191</v>
      </c>
      <c r="D9" s="6" t="s">
        <v>188</v>
      </c>
      <c r="E9" s="7" t="s">
        <v>181</v>
      </c>
      <c r="F9" s="6" t="s">
        <v>163</v>
      </c>
    </row>
  </sheetData>
  <dataValidations count="1">
    <dataValidation allowBlank="false" errorStyle="stop" operator="between" showDropDown="false" showErrorMessage="false" showInputMessage="false" sqref="D2:D50" type="list">
      <formula1>"LDQL,CMNV,HTPV"</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0"/>
    <col collapsed="false" customWidth="true" hidden="false" outlineLevel="0" max="4" min="4" style="0" width="20"/>
    <col collapsed="false" customWidth="true" hidden="false" outlineLevel="0" max="5" min="5" style="0" width="18"/>
    <col collapsed="false" customWidth="true" hidden="false" outlineLevel="0" max="6" min="6" style="0" width="10"/>
    <col collapsed="false" customWidth="true" hidden="false" outlineLevel="0" max="7" min="7" style="0" width="22"/>
  </cols>
  <sheetData>
    <row r="1" customFormat="false" ht="37.3" hidden="false" customHeight="false" outlineLevel="0" collapsed="false">
      <c r="A1" s="3" t="s">
        <v>157</v>
      </c>
      <c r="B1" s="3" t="s">
        <v>158</v>
      </c>
      <c r="C1" s="3" t="s">
        <v>192</v>
      </c>
      <c r="D1" s="3" t="s">
        <v>193</v>
      </c>
      <c r="E1" s="3" t="s">
        <v>194</v>
      </c>
      <c r="F1" s="3" t="s">
        <v>195</v>
      </c>
      <c r="G1" s="3" t="s">
        <v>196</v>
      </c>
    </row>
    <row r="2" customFormat="false" ht="15" hidden="false" customHeight="false" outlineLevel="0" collapsed="false">
      <c r="A2" s="4" t="str">
        <f aca="false">NhanSu!A2</f>
        <v>CB01</v>
      </c>
      <c r="B2" s="5" t="str">
        <f aca="false">NhanSu!B2</f>
        <v>Nguyễn Văn A</v>
      </c>
      <c r="C2" s="4" t="str">
        <f aca="false">NhanSu!D2</f>
        <v>LDQL</v>
      </c>
      <c r="D2" s="4" t="str">
        <f aca="false">IF(C2="LDQL","Phụ lục 03",IF(C2="HTPV","Phụ lục 02","Phụ lục 01"))</f>
        <v>Phụ lục 03</v>
      </c>
      <c r="E2" s="6" t="n">
        <v>28</v>
      </c>
      <c r="F2" s="6" t="n">
        <v>0</v>
      </c>
      <c r="G2" s="4" t="str">
        <f aca="false">IF(E2&gt;30,"VƯỢT TRẦN 30 ĐIỂM","")</f>
        <v/>
      </c>
    </row>
    <row r="3" customFormat="false" ht="15" hidden="false" customHeight="false" outlineLevel="0" collapsed="false">
      <c r="A3" s="4" t="str">
        <f aca="false">NhanSu!A3</f>
        <v>CB02</v>
      </c>
      <c r="B3" s="5" t="str">
        <f aca="false">NhanSu!B3</f>
        <v>Trần Thị B</v>
      </c>
      <c r="C3" s="4" t="str">
        <f aca="false">NhanSu!D3</f>
        <v>LDQL</v>
      </c>
      <c r="D3" s="4" t="str">
        <f aca="false">IF(C3="LDQL","Phụ lục 03",IF(C3="HTPV","Phụ lục 02","Phụ lục 01"))</f>
        <v>Phụ lục 03</v>
      </c>
      <c r="E3" s="6" t="n">
        <v>27</v>
      </c>
      <c r="F3" s="6" t="n">
        <v>0</v>
      </c>
      <c r="G3" s="4" t="str">
        <f aca="false">IF(E3&gt;30,"VƯỢT TRẦN 30 ĐIỂM","")</f>
        <v/>
      </c>
    </row>
    <row r="4" customFormat="false" ht="15" hidden="false" customHeight="false" outlineLevel="0" collapsed="false">
      <c r="A4" s="4" t="str">
        <f aca="false">NhanSu!A4</f>
        <v>CB03</v>
      </c>
      <c r="B4" s="5" t="str">
        <f aca="false">NhanSu!B4</f>
        <v>Lê Văn C</v>
      </c>
      <c r="C4" s="4" t="str">
        <f aca="false">NhanSu!D4</f>
        <v>CMNV</v>
      </c>
      <c r="D4" s="4" t="str">
        <f aca="false">IF(C4="LDQL","Phụ lục 03",IF(C4="HTPV","Phụ lục 02","Phụ lục 01"))</f>
        <v>Phụ lục 01</v>
      </c>
      <c r="E4" s="6" t="n">
        <v>27</v>
      </c>
      <c r="F4" s="6" t="n">
        <v>0</v>
      </c>
      <c r="G4" s="4" t="str">
        <f aca="false">IF(E4&gt;30,"VƯỢT TRẦN 30 ĐIỂM","")</f>
        <v/>
      </c>
    </row>
    <row r="5" customFormat="false" ht="15" hidden="false" customHeight="false" outlineLevel="0" collapsed="false">
      <c r="A5" s="4" t="str">
        <f aca="false">NhanSu!A5</f>
        <v>CB04</v>
      </c>
      <c r="B5" s="5" t="str">
        <f aca="false">NhanSu!B5</f>
        <v>Phạm Thị D</v>
      </c>
      <c r="C5" s="4" t="str">
        <f aca="false">NhanSu!D5</f>
        <v>CMNV</v>
      </c>
      <c r="D5" s="4" t="str">
        <f aca="false">IF(C5="LDQL","Phụ lục 03",IF(C5="HTPV","Phụ lục 02","Phụ lục 01"))</f>
        <v>Phụ lục 01</v>
      </c>
      <c r="E5" s="6" t="n">
        <v>26</v>
      </c>
      <c r="F5" s="6" t="n">
        <v>0</v>
      </c>
      <c r="G5" s="4" t="str">
        <f aca="false">IF(E5&gt;30,"VƯỢT TRẦN 30 ĐIỂM","")</f>
        <v/>
      </c>
    </row>
    <row r="6" customFormat="false" ht="15" hidden="false" customHeight="false" outlineLevel="0" collapsed="false">
      <c r="A6" s="4" t="str">
        <f aca="false">NhanSu!A6</f>
        <v>CB05</v>
      </c>
      <c r="B6" s="5" t="str">
        <f aca="false">NhanSu!B6</f>
        <v>Hoàng Văn E</v>
      </c>
      <c r="C6" s="4" t="str">
        <f aca="false">NhanSu!D6</f>
        <v>CMNV</v>
      </c>
      <c r="D6" s="4" t="str">
        <f aca="false">IF(C6="LDQL","Phụ lục 03",IF(C6="HTPV","Phụ lục 02","Phụ lục 01"))</f>
        <v>Phụ lục 01</v>
      </c>
      <c r="E6" s="6" t="n">
        <v>27</v>
      </c>
      <c r="F6" s="6" t="n">
        <v>0</v>
      </c>
      <c r="G6" s="4" t="str">
        <f aca="false">IF(E6&gt;30,"VƯỢT TRẦN 30 ĐIỂM","")</f>
        <v/>
      </c>
    </row>
    <row r="7" customFormat="false" ht="15" hidden="false" customHeight="false" outlineLevel="0" collapsed="false">
      <c r="A7" s="4" t="str">
        <f aca="false">NhanSu!A7</f>
        <v>CB06</v>
      </c>
      <c r="B7" s="5" t="str">
        <f aca="false">NhanSu!B7</f>
        <v>Vũ Thị G</v>
      </c>
      <c r="C7" s="4" t="str">
        <f aca="false">NhanSu!D7</f>
        <v>CMNV</v>
      </c>
      <c r="D7" s="4" t="str">
        <f aca="false">IF(C7="LDQL","Phụ lục 03",IF(C7="HTPV","Phụ lục 02","Phụ lục 01"))</f>
        <v>Phụ lục 01</v>
      </c>
      <c r="E7" s="6" t="n">
        <v>26</v>
      </c>
      <c r="F7" s="6" t="n">
        <v>0</v>
      </c>
      <c r="G7" s="4" t="str">
        <f aca="false">IF(E7&gt;30,"VƯỢT TRẦN 30 ĐIỂM","")</f>
        <v/>
      </c>
    </row>
    <row r="8" customFormat="false" ht="15" hidden="false" customHeight="false" outlineLevel="0" collapsed="false">
      <c r="A8" s="4" t="str">
        <f aca="false">NhanSu!A8</f>
        <v>CB07</v>
      </c>
      <c r="B8" s="5" t="str">
        <f aca="false">NhanSu!B8</f>
        <v>Đỗ Văn H</v>
      </c>
      <c r="C8" s="4" t="str">
        <f aca="false">NhanSu!D8</f>
        <v>HTPV</v>
      </c>
      <c r="D8" s="4" t="str">
        <f aca="false">IF(C8="LDQL","Phụ lục 03",IF(C8="HTPV","Phụ lục 02","Phụ lục 01"))</f>
        <v>Phụ lục 02</v>
      </c>
      <c r="E8" s="6" t="n">
        <v>27</v>
      </c>
      <c r="F8" s="6" t="n">
        <v>0</v>
      </c>
      <c r="G8" s="4" t="str">
        <f aca="false">IF(E8&gt;30,"VƯỢT TRẦN 30 ĐIỂM","")</f>
        <v/>
      </c>
    </row>
    <row r="9" customFormat="false" ht="15" hidden="false" customHeight="false" outlineLevel="0" collapsed="false">
      <c r="A9" s="4" t="str">
        <f aca="false">NhanSu!A9</f>
        <v>CB08</v>
      </c>
      <c r="B9" s="5" t="str">
        <f aca="false">NhanSu!B9</f>
        <v>Ngô Thị K</v>
      </c>
      <c r="C9" s="4" t="str">
        <f aca="false">NhanSu!D9</f>
        <v>HTPV</v>
      </c>
      <c r="D9" s="4" t="str">
        <f aca="false">IF(C9="LDQL","Phụ lục 03",IF(C9="HTPV","Phụ lục 02","Phụ lục 01"))</f>
        <v>Phụ lục 02</v>
      </c>
      <c r="E9" s="6" t="n">
        <v>26</v>
      </c>
      <c r="F9" s="6" t="n">
        <v>0</v>
      </c>
      <c r="G9" s="4" t="str">
        <f aca="false">IF(E9&gt;30,"VƯỢT TRẦN 30 ĐIỂM","")</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4" min="2" style="0" width="8"/>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9" min="9" style="0" width="10"/>
    <col collapsed="false" customWidth="true" hidden="false" outlineLevel="0" max="10" min="10" style="0" width="12"/>
    <col collapsed="false" customWidth="true" hidden="false" outlineLevel="0" max="11" min="11" style="0" width="11"/>
    <col collapsed="false" customWidth="true" hidden="false" outlineLevel="0" max="12" min="12" style="0" width="13"/>
    <col collapsed="false" customWidth="true" hidden="false" outlineLevel="0" max="13" min="13" style="0" width="12"/>
    <col collapsed="false" customWidth="true" hidden="false" outlineLevel="0" max="15" min="14" style="0" width="18"/>
  </cols>
  <sheetData>
    <row r="1" customFormat="false" ht="49.25" hidden="false" customHeight="false" outlineLevel="0" collapsed="false">
      <c r="A1" s="3" t="s">
        <v>197</v>
      </c>
      <c r="B1" s="3" t="s">
        <v>157</v>
      </c>
      <c r="C1" s="3" t="s">
        <v>18</v>
      </c>
      <c r="D1" s="3" t="s">
        <v>198</v>
      </c>
      <c r="E1" s="3" t="s">
        <v>199</v>
      </c>
      <c r="F1" s="3" t="s">
        <v>200</v>
      </c>
      <c r="G1" s="3" t="s">
        <v>201</v>
      </c>
      <c r="H1" s="3" t="s">
        <v>202</v>
      </c>
      <c r="I1" s="3" t="s">
        <v>203</v>
      </c>
      <c r="J1" s="3" t="s">
        <v>204</v>
      </c>
      <c r="K1" s="3" t="s">
        <v>23</v>
      </c>
      <c r="L1" s="3" t="s">
        <v>205</v>
      </c>
      <c r="M1" s="3" t="s">
        <v>206</v>
      </c>
      <c r="N1" s="3" t="s">
        <v>207</v>
      </c>
      <c r="O1" s="3" t="s">
        <v>208</v>
      </c>
    </row>
    <row r="2" customFormat="false" ht="15" hidden="false" customHeight="false" outlineLevel="0" collapsed="false">
      <c r="A2" s="6" t="s">
        <v>209</v>
      </c>
      <c r="B2" s="6" t="s">
        <v>163</v>
      </c>
      <c r="C2" s="6" t="s">
        <v>114</v>
      </c>
      <c r="D2" s="6" t="n">
        <v>1</v>
      </c>
      <c r="E2" s="6" t="n">
        <v>1</v>
      </c>
      <c r="F2" s="6" t="n">
        <v>1</v>
      </c>
      <c r="G2" s="6" t="n">
        <v>0</v>
      </c>
      <c r="H2" s="6" t="n">
        <v>1</v>
      </c>
      <c r="I2" s="6" t="n">
        <v>0</v>
      </c>
      <c r="J2" s="6" t="s">
        <v>210</v>
      </c>
      <c r="K2" s="4" t="n">
        <f aca="false">IFERROR(VLOOKUP(C2,DanhMuc!$A$2:$F$49,6,0),0)</f>
        <v>1.3</v>
      </c>
      <c r="L2" s="4" t="n">
        <f aca="false">D2*K2</f>
        <v>1.3</v>
      </c>
      <c r="M2" s="4" t="n">
        <f aca="false">E2*K2</f>
        <v>1.3</v>
      </c>
      <c r="N2" s="4" t="n">
        <f aca="false">(F2+G2*0.75)*K2</f>
        <v>1.3</v>
      </c>
      <c r="O2" s="4" t="n">
        <f aca="false">(H2+I2*0.75)*K2</f>
        <v>1.3</v>
      </c>
    </row>
    <row r="3" customFormat="false" ht="15" hidden="false" customHeight="false" outlineLevel="0" collapsed="false">
      <c r="A3" s="6" t="s">
        <v>209</v>
      </c>
      <c r="B3" s="6" t="s">
        <v>163</v>
      </c>
      <c r="C3" s="6" t="s">
        <v>118</v>
      </c>
      <c r="D3" s="6" t="n">
        <v>4</v>
      </c>
      <c r="E3" s="6" t="n">
        <v>4</v>
      </c>
      <c r="F3" s="6" t="n">
        <v>4</v>
      </c>
      <c r="G3" s="6" t="n">
        <v>0</v>
      </c>
      <c r="H3" s="6" t="n">
        <v>4</v>
      </c>
      <c r="I3" s="6" t="n">
        <v>0</v>
      </c>
      <c r="J3" s="6" t="s">
        <v>210</v>
      </c>
      <c r="K3" s="4" t="n">
        <f aca="false">IFERROR(VLOOKUP(C3,DanhMuc!$A$2:$F$49,6,0),0)</f>
        <v>1.1</v>
      </c>
      <c r="L3" s="4" t="n">
        <f aca="false">D3*K3</f>
        <v>4.4</v>
      </c>
      <c r="M3" s="4" t="n">
        <f aca="false">E3*K3</f>
        <v>4.4</v>
      </c>
      <c r="N3" s="4" t="n">
        <f aca="false">(F3+G3*0.75)*K3</f>
        <v>4.4</v>
      </c>
      <c r="O3" s="4" t="n">
        <f aca="false">(H3+I3*0.75)*K3</f>
        <v>4.4</v>
      </c>
    </row>
    <row r="4" customFormat="false" ht="15" hidden="false" customHeight="false" outlineLevel="0" collapsed="false">
      <c r="A4" s="6" t="s">
        <v>209</v>
      </c>
      <c r="B4" s="6" t="s">
        <v>163</v>
      </c>
      <c r="C4" s="6" t="s">
        <v>121</v>
      </c>
      <c r="D4" s="6" t="n">
        <v>30</v>
      </c>
      <c r="E4" s="6" t="n">
        <v>30</v>
      </c>
      <c r="F4" s="6" t="n">
        <v>30</v>
      </c>
      <c r="G4" s="6" t="n">
        <v>0</v>
      </c>
      <c r="H4" s="6" t="n">
        <v>29</v>
      </c>
      <c r="I4" s="6" t="n">
        <v>1</v>
      </c>
      <c r="J4" s="6" t="s">
        <v>210</v>
      </c>
      <c r="K4" s="4" t="n">
        <f aca="false">IFERROR(VLOOKUP(C4,DanhMuc!$A$2:$F$49,6,0),0)</f>
        <v>1.1</v>
      </c>
      <c r="L4" s="4" t="n">
        <f aca="false">D4*K4</f>
        <v>33</v>
      </c>
      <c r="M4" s="4" t="n">
        <f aca="false">E4*K4</f>
        <v>33</v>
      </c>
      <c r="N4" s="4" t="n">
        <f aca="false">(F4+G4*0.75)*K4</f>
        <v>33</v>
      </c>
      <c r="O4" s="4" t="n">
        <f aca="false">(H4+I4*0.75)*K4</f>
        <v>32.725</v>
      </c>
    </row>
    <row r="5" customFormat="false" ht="15" hidden="false" customHeight="false" outlineLevel="0" collapsed="false">
      <c r="A5" s="6" t="s">
        <v>209</v>
      </c>
      <c r="B5" s="6" t="s">
        <v>163</v>
      </c>
      <c r="C5" s="6" t="s">
        <v>130</v>
      </c>
      <c r="D5" s="6" t="n">
        <v>1</v>
      </c>
      <c r="E5" s="6" t="n">
        <v>1</v>
      </c>
      <c r="F5" s="6" t="n">
        <v>1</v>
      </c>
      <c r="G5" s="6" t="n">
        <v>0</v>
      </c>
      <c r="H5" s="6" t="n">
        <v>1</v>
      </c>
      <c r="I5" s="6" t="n">
        <v>0</v>
      </c>
      <c r="J5" s="6" t="s">
        <v>210</v>
      </c>
      <c r="K5" s="4" t="n">
        <f aca="false">IFERROR(VLOOKUP(C5,DanhMuc!$A$2:$F$49,6,0),0)</f>
        <v>1.3</v>
      </c>
      <c r="L5" s="4" t="n">
        <f aca="false">D5*K5</f>
        <v>1.3</v>
      </c>
      <c r="M5" s="4" t="n">
        <f aca="false">E5*K5</f>
        <v>1.3</v>
      </c>
      <c r="N5" s="4" t="n">
        <f aca="false">(F5+G5*0.75)*K5</f>
        <v>1.3</v>
      </c>
      <c r="O5" s="4" t="n">
        <f aca="false">(H5+I5*0.75)*K5</f>
        <v>1.3</v>
      </c>
    </row>
    <row r="6" customFormat="false" ht="15" hidden="false" customHeight="false" outlineLevel="0" collapsed="false">
      <c r="A6" s="6" t="s">
        <v>209</v>
      </c>
      <c r="B6" s="6" t="s">
        <v>163</v>
      </c>
      <c r="C6" s="6" t="s">
        <v>34</v>
      </c>
      <c r="D6" s="6" t="n">
        <v>1</v>
      </c>
      <c r="E6" s="6" t="n">
        <v>1</v>
      </c>
      <c r="F6" s="6" t="n">
        <v>1</v>
      </c>
      <c r="G6" s="6" t="n">
        <v>0</v>
      </c>
      <c r="H6" s="6" t="n">
        <v>1</v>
      </c>
      <c r="I6" s="6" t="n">
        <v>0</v>
      </c>
      <c r="J6" s="6" t="s">
        <v>210</v>
      </c>
      <c r="K6" s="4" t="n">
        <f aca="false">IFERROR(VLOOKUP(C6,DanhMuc!$A$2:$F$49,6,0),0)</f>
        <v>1.6</v>
      </c>
      <c r="L6" s="4" t="n">
        <f aca="false">D6*K6</f>
        <v>1.6</v>
      </c>
      <c r="M6" s="4" t="n">
        <f aca="false">E6*K6</f>
        <v>1.6</v>
      </c>
      <c r="N6" s="4" t="n">
        <f aca="false">(F6+G6*0.75)*K6</f>
        <v>1.6</v>
      </c>
      <c r="O6" s="4" t="n">
        <f aca="false">(H6+I6*0.75)*K6</f>
        <v>1.6</v>
      </c>
    </row>
    <row r="7" customFormat="false" ht="15" hidden="false" customHeight="false" outlineLevel="0" collapsed="false">
      <c r="A7" s="6" t="s">
        <v>209</v>
      </c>
      <c r="B7" s="6" t="s">
        <v>168</v>
      </c>
      <c r="C7" s="6" t="s">
        <v>114</v>
      </c>
      <c r="D7" s="6" t="n">
        <v>1</v>
      </c>
      <c r="E7" s="6" t="n">
        <v>1</v>
      </c>
      <c r="F7" s="6" t="n">
        <v>1</v>
      </c>
      <c r="G7" s="6" t="n">
        <v>0</v>
      </c>
      <c r="H7" s="6" t="n">
        <v>1</v>
      </c>
      <c r="I7" s="6" t="n">
        <v>0</v>
      </c>
      <c r="J7" s="6" t="s">
        <v>210</v>
      </c>
      <c r="K7" s="4" t="n">
        <f aca="false">IFERROR(VLOOKUP(C7,DanhMuc!$A$2:$F$49,6,0),0)</f>
        <v>1.3</v>
      </c>
      <c r="L7" s="4" t="n">
        <f aca="false">D7*K7</f>
        <v>1.3</v>
      </c>
      <c r="M7" s="4" t="n">
        <f aca="false">E7*K7</f>
        <v>1.3</v>
      </c>
      <c r="N7" s="4" t="n">
        <f aca="false">(F7+G7*0.75)*K7</f>
        <v>1.3</v>
      </c>
      <c r="O7" s="4" t="n">
        <f aca="false">(H7+I7*0.75)*K7</f>
        <v>1.3</v>
      </c>
    </row>
    <row r="8" customFormat="false" ht="15" hidden="false" customHeight="false" outlineLevel="0" collapsed="false">
      <c r="A8" s="6" t="s">
        <v>209</v>
      </c>
      <c r="B8" s="6" t="s">
        <v>168</v>
      </c>
      <c r="C8" s="6" t="s">
        <v>127</v>
      </c>
      <c r="D8" s="6" t="n">
        <v>4</v>
      </c>
      <c r="E8" s="6" t="n">
        <v>4</v>
      </c>
      <c r="F8" s="6" t="n">
        <v>4</v>
      </c>
      <c r="G8" s="6" t="n">
        <v>0</v>
      </c>
      <c r="H8" s="6" t="n">
        <v>4</v>
      </c>
      <c r="I8" s="6" t="n">
        <v>0</v>
      </c>
      <c r="J8" s="6" t="s">
        <v>210</v>
      </c>
      <c r="K8" s="4" t="n">
        <f aca="false">IFERROR(VLOOKUP(C8,DanhMuc!$A$2:$F$49,6,0),0)</f>
        <v>1.2</v>
      </c>
      <c r="L8" s="4" t="n">
        <f aca="false">D8*K8</f>
        <v>4.8</v>
      </c>
      <c r="M8" s="4" t="n">
        <f aca="false">E8*K8</f>
        <v>4.8</v>
      </c>
      <c r="N8" s="4" t="n">
        <f aca="false">(F8+G8*0.75)*K8</f>
        <v>4.8</v>
      </c>
      <c r="O8" s="4" t="n">
        <f aca="false">(H8+I8*0.75)*K8</f>
        <v>4.8</v>
      </c>
    </row>
    <row r="9" customFormat="false" ht="15" hidden="false" customHeight="false" outlineLevel="0" collapsed="false">
      <c r="A9" s="6" t="s">
        <v>209</v>
      </c>
      <c r="B9" s="6" t="s">
        <v>168</v>
      </c>
      <c r="C9" s="6" t="s">
        <v>54</v>
      </c>
      <c r="D9" s="6" t="n">
        <v>2</v>
      </c>
      <c r="E9" s="6" t="n">
        <v>2</v>
      </c>
      <c r="F9" s="6" t="n">
        <v>1</v>
      </c>
      <c r="G9" s="6" t="n">
        <v>1</v>
      </c>
      <c r="H9" s="6" t="n">
        <v>2</v>
      </c>
      <c r="I9" s="6" t="n">
        <v>0</v>
      </c>
      <c r="J9" s="6" t="s">
        <v>210</v>
      </c>
      <c r="K9" s="4" t="n">
        <f aca="false">IFERROR(VLOOKUP(C9,DanhMuc!$A$2:$F$49,6,0),0)</f>
        <v>2</v>
      </c>
      <c r="L9" s="4" t="n">
        <f aca="false">D9*K9</f>
        <v>4</v>
      </c>
      <c r="M9" s="4" t="n">
        <f aca="false">E9*K9</f>
        <v>4</v>
      </c>
      <c r="N9" s="4" t="n">
        <f aca="false">(F9+G9*0.75)*K9</f>
        <v>3.5</v>
      </c>
      <c r="O9" s="4" t="n">
        <f aca="false">(H9+I9*0.75)*K9</f>
        <v>4</v>
      </c>
    </row>
    <row r="10" customFormat="false" ht="15" hidden="false" customHeight="false" outlineLevel="0" collapsed="false">
      <c r="A10" s="6" t="s">
        <v>209</v>
      </c>
      <c r="B10" s="6" t="s">
        <v>168</v>
      </c>
      <c r="C10" s="6" t="s">
        <v>70</v>
      </c>
      <c r="D10" s="6" t="n">
        <v>1</v>
      </c>
      <c r="E10" s="6" t="n">
        <v>1</v>
      </c>
      <c r="F10" s="6" t="n">
        <v>1</v>
      </c>
      <c r="G10" s="6" t="n">
        <v>0</v>
      </c>
      <c r="H10" s="6" t="n">
        <v>0</v>
      </c>
      <c r="I10" s="6" t="n">
        <v>1</v>
      </c>
      <c r="J10" s="6" t="s">
        <v>211</v>
      </c>
      <c r="K10" s="4" t="n">
        <f aca="false">IFERROR(VLOOKUP(C10,DanhMuc!$A$2:$F$49,6,0),0)</f>
        <v>2</v>
      </c>
      <c r="L10" s="4" t="n">
        <f aca="false">D10*K10</f>
        <v>2</v>
      </c>
      <c r="M10" s="4" t="n">
        <f aca="false">E10*K10</f>
        <v>2</v>
      </c>
      <c r="N10" s="4" t="n">
        <f aca="false">(F10+G10*0.75)*K10</f>
        <v>2</v>
      </c>
      <c r="O10" s="4" t="n">
        <f aca="false">(H10+I10*0.75)*K10</f>
        <v>1.5</v>
      </c>
    </row>
    <row r="11" customFormat="false" ht="15" hidden="false" customHeight="false" outlineLevel="0" collapsed="false">
      <c r="A11" s="6" t="s">
        <v>209</v>
      </c>
      <c r="B11" s="6" t="s">
        <v>172</v>
      </c>
      <c r="C11" s="6" t="s">
        <v>36</v>
      </c>
      <c r="D11" s="6" t="n">
        <v>20</v>
      </c>
      <c r="E11" s="6" t="n">
        <v>19</v>
      </c>
      <c r="F11" s="6" t="n">
        <v>19</v>
      </c>
      <c r="G11" s="6" t="n">
        <v>0</v>
      </c>
      <c r="H11" s="6" t="n">
        <v>18</v>
      </c>
      <c r="I11" s="6" t="n">
        <v>1</v>
      </c>
      <c r="J11" s="6" t="s">
        <v>210</v>
      </c>
      <c r="K11" s="4" t="n">
        <f aca="false">IFERROR(VLOOKUP(C11,DanhMuc!$A$2:$F$49,6,0),0)</f>
        <v>1</v>
      </c>
      <c r="L11" s="4" t="n">
        <f aca="false">D11*K11</f>
        <v>20</v>
      </c>
      <c r="M11" s="4" t="n">
        <f aca="false">E11*K11</f>
        <v>19</v>
      </c>
      <c r="N11" s="4" t="n">
        <f aca="false">(F11+G11*0.75)*K11</f>
        <v>19</v>
      </c>
      <c r="O11" s="4" t="n">
        <f aca="false">(H11+I11*0.75)*K11</f>
        <v>18.75</v>
      </c>
    </row>
    <row r="12" customFormat="false" ht="15" hidden="false" customHeight="false" outlineLevel="0" collapsed="false">
      <c r="A12" s="6" t="s">
        <v>209</v>
      </c>
      <c r="B12" s="6" t="s">
        <v>172</v>
      </c>
      <c r="C12" s="6" t="s">
        <v>88</v>
      </c>
      <c r="D12" s="6" t="n">
        <v>15</v>
      </c>
      <c r="E12" s="6" t="n">
        <v>15</v>
      </c>
      <c r="F12" s="6" t="n">
        <v>14</v>
      </c>
      <c r="G12" s="6" t="n">
        <v>1</v>
      </c>
      <c r="H12" s="6" t="n">
        <v>15</v>
      </c>
      <c r="I12" s="6" t="n">
        <v>0</v>
      </c>
      <c r="J12" s="6" t="s">
        <v>210</v>
      </c>
      <c r="K12" s="4" t="n">
        <f aca="false">IFERROR(VLOOKUP(C12,DanhMuc!$A$2:$F$49,6,0),0)</f>
        <v>0.9</v>
      </c>
      <c r="L12" s="4" t="n">
        <f aca="false">D12*K12</f>
        <v>13.5</v>
      </c>
      <c r="M12" s="4" t="n">
        <f aca="false">E12*K12</f>
        <v>13.5</v>
      </c>
      <c r="N12" s="4" t="n">
        <f aca="false">(F12+G12*0.75)*K12</f>
        <v>13.275</v>
      </c>
      <c r="O12" s="4" t="n">
        <f aca="false">(H12+I12*0.75)*K12</f>
        <v>13.5</v>
      </c>
    </row>
    <row r="13" customFormat="false" ht="15" hidden="false" customHeight="false" outlineLevel="0" collapsed="false">
      <c r="A13" s="6" t="s">
        <v>209</v>
      </c>
      <c r="B13" s="6" t="s">
        <v>172</v>
      </c>
      <c r="C13" s="6" t="s">
        <v>91</v>
      </c>
      <c r="D13" s="6" t="n">
        <v>10</v>
      </c>
      <c r="E13" s="6" t="n">
        <v>10</v>
      </c>
      <c r="F13" s="6" t="n">
        <v>10</v>
      </c>
      <c r="G13" s="6" t="n">
        <v>0</v>
      </c>
      <c r="H13" s="6" t="n">
        <v>9</v>
      </c>
      <c r="I13" s="6" t="n">
        <v>1</v>
      </c>
      <c r="J13" s="6" t="s">
        <v>210</v>
      </c>
      <c r="K13" s="4" t="n">
        <f aca="false">IFERROR(VLOOKUP(C13,DanhMuc!$A$2:$F$49,6,0),0)</f>
        <v>1</v>
      </c>
      <c r="L13" s="4" t="n">
        <f aca="false">D13*K13</f>
        <v>10</v>
      </c>
      <c r="M13" s="4" t="n">
        <f aca="false">E13*K13</f>
        <v>10</v>
      </c>
      <c r="N13" s="4" t="n">
        <f aca="false">(F13+G13*0.75)*K13</f>
        <v>10</v>
      </c>
      <c r="O13" s="4" t="n">
        <f aca="false">(H13+I13*0.75)*K13</f>
        <v>9.75</v>
      </c>
    </row>
    <row r="14" customFormat="false" ht="15" hidden="false" customHeight="false" outlineLevel="0" collapsed="false">
      <c r="A14" s="6" t="s">
        <v>209</v>
      </c>
      <c r="B14" s="6" t="s">
        <v>176</v>
      </c>
      <c r="C14" s="6" t="s">
        <v>51</v>
      </c>
      <c r="D14" s="6" t="n">
        <v>3</v>
      </c>
      <c r="E14" s="6" t="n">
        <v>3</v>
      </c>
      <c r="F14" s="6" t="n">
        <v>3</v>
      </c>
      <c r="G14" s="6" t="n">
        <v>0</v>
      </c>
      <c r="H14" s="6" t="n">
        <v>3</v>
      </c>
      <c r="I14" s="6" t="n">
        <v>0</v>
      </c>
      <c r="J14" s="6" t="s">
        <v>210</v>
      </c>
      <c r="K14" s="4" t="n">
        <f aca="false">IFERROR(VLOOKUP(C14,DanhMuc!$A$2:$F$49,6,0),0)</f>
        <v>1.4</v>
      </c>
      <c r="L14" s="4" t="n">
        <f aca="false">D14*K14</f>
        <v>4.2</v>
      </c>
      <c r="M14" s="4" t="n">
        <f aca="false">E14*K14</f>
        <v>4.2</v>
      </c>
      <c r="N14" s="4" t="n">
        <f aca="false">(F14+G14*0.75)*K14</f>
        <v>4.2</v>
      </c>
      <c r="O14" s="4" t="n">
        <f aca="false">(H14+I14*0.75)*K14</f>
        <v>4.2</v>
      </c>
    </row>
    <row r="15" customFormat="false" ht="15" hidden="false" customHeight="false" outlineLevel="0" collapsed="false">
      <c r="A15" s="6" t="s">
        <v>209</v>
      </c>
      <c r="B15" s="6" t="s">
        <v>176</v>
      </c>
      <c r="C15" s="6" t="s">
        <v>57</v>
      </c>
      <c r="D15" s="6" t="n">
        <v>1</v>
      </c>
      <c r="E15" s="6" t="n">
        <v>1</v>
      </c>
      <c r="F15" s="6" t="n">
        <v>1</v>
      </c>
      <c r="G15" s="6" t="n">
        <v>0</v>
      </c>
      <c r="H15" s="6" t="n">
        <v>1</v>
      </c>
      <c r="I15" s="6" t="n">
        <v>0</v>
      </c>
      <c r="J15" s="6" t="s">
        <v>211</v>
      </c>
      <c r="K15" s="4" t="n">
        <f aca="false">IFERROR(VLOOKUP(C15,DanhMuc!$A$2:$F$49,6,0),0)</f>
        <v>1.7</v>
      </c>
      <c r="L15" s="4" t="n">
        <f aca="false">D15*K15</f>
        <v>1.7</v>
      </c>
      <c r="M15" s="4" t="n">
        <f aca="false">E15*K15</f>
        <v>1.7</v>
      </c>
      <c r="N15" s="4" t="n">
        <f aca="false">(F15+G15*0.75)*K15</f>
        <v>1.7</v>
      </c>
      <c r="O15" s="4" t="n">
        <f aca="false">(H15+I15*0.75)*K15</f>
        <v>1.7</v>
      </c>
    </row>
    <row r="16" customFormat="false" ht="15" hidden="false" customHeight="false" outlineLevel="0" collapsed="false">
      <c r="A16" s="6" t="s">
        <v>209</v>
      </c>
      <c r="B16" s="6" t="s">
        <v>176</v>
      </c>
      <c r="C16" s="6" t="s">
        <v>81</v>
      </c>
      <c r="D16" s="6" t="n">
        <v>1</v>
      </c>
      <c r="E16" s="6" t="n">
        <v>1</v>
      </c>
      <c r="F16" s="6" t="n">
        <v>0</v>
      </c>
      <c r="G16" s="6" t="n">
        <v>1</v>
      </c>
      <c r="H16" s="6" t="n">
        <v>1</v>
      </c>
      <c r="I16" s="6" t="n">
        <v>0</v>
      </c>
      <c r="J16" s="6" t="s">
        <v>210</v>
      </c>
      <c r="K16" s="4" t="n">
        <f aca="false">IFERROR(VLOOKUP(C16,DanhMuc!$A$2:$F$49,6,0),0)</f>
        <v>1.9</v>
      </c>
      <c r="L16" s="4" t="n">
        <f aca="false">D16*K16</f>
        <v>1.9</v>
      </c>
      <c r="M16" s="4" t="n">
        <f aca="false">E16*K16</f>
        <v>1.9</v>
      </c>
      <c r="N16" s="4" t="n">
        <f aca="false">(F16+G16*0.75)*K16</f>
        <v>1.425</v>
      </c>
      <c r="O16" s="4" t="n">
        <f aca="false">(H16+I16*0.75)*K16</f>
        <v>1.9</v>
      </c>
    </row>
    <row r="17" customFormat="false" ht="15" hidden="false" customHeight="false" outlineLevel="0" collapsed="false">
      <c r="A17" s="6" t="s">
        <v>209</v>
      </c>
      <c r="B17" s="6" t="s">
        <v>178</v>
      </c>
      <c r="C17" s="6" t="s">
        <v>108</v>
      </c>
      <c r="D17" s="6" t="n">
        <v>4</v>
      </c>
      <c r="E17" s="6" t="n">
        <v>4</v>
      </c>
      <c r="F17" s="6" t="n">
        <v>4</v>
      </c>
      <c r="G17" s="6" t="n">
        <v>0</v>
      </c>
      <c r="H17" s="6" t="n">
        <v>4</v>
      </c>
      <c r="I17" s="6" t="n">
        <v>0</v>
      </c>
      <c r="J17" s="6" t="s">
        <v>210</v>
      </c>
      <c r="K17" s="4" t="n">
        <f aca="false">IFERROR(VLOOKUP(C17,DanhMuc!$A$2:$F$49,6,0),0)</f>
        <v>1.3</v>
      </c>
      <c r="L17" s="4" t="n">
        <f aca="false">D17*K17</f>
        <v>5.2</v>
      </c>
      <c r="M17" s="4" t="n">
        <f aca="false">E17*K17</f>
        <v>5.2</v>
      </c>
      <c r="N17" s="4" t="n">
        <f aca="false">(F17+G17*0.75)*K17</f>
        <v>5.2</v>
      </c>
      <c r="O17" s="4" t="n">
        <f aca="false">(H17+I17*0.75)*K17</f>
        <v>5.2</v>
      </c>
    </row>
    <row r="18" customFormat="false" ht="15" hidden="false" customHeight="false" outlineLevel="0" collapsed="false">
      <c r="A18" s="6" t="s">
        <v>209</v>
      </c>
      <c r="B18" s="6" t="s">
        <v>178</v>
      </c>
      <c r="C18" s="6" t="s">
        <v>36</v>
      </c>
      <c r="D18" s="6" t="n">
        <v>8</v>
      </c>
      <c r="E18" s="6" t="n">
        <v>8</v>
      </c>
      <c r="F18" s="6" t="n">
        <v>8</v>
      </c>
      <c r="G18" s="6" t="n">
        <v>0</v>
      </c>
      <c r="H18" s="6" t="n">
        <v>8</v>
      </c>
      <c r="I18" s="6" t="n">
        <v>0</v>
      </c>
      <c r="J18" s="6" t="s">
        <v>210</v>
      </c>
      <c r="K18" s="4" t="n">
        <f aca="false">IFERROR(VLOOKUP(C18,DanhMuc!$A$2:$F$49,6,0),0)</f>
        <v>1</v>
      </c>
      <c r="L18" s="4" t="n">
        <f aca="false">D18*K18</f>
        <v>8</v>
      </c>
      <c r="M18" s="4" t="n">
        <f aca="false">E18*K18</f>
        <v>8</v>
      </c>
      <c r="N18" s="4" t="n">
        <f aca="false">(F18+G18*0.75)*K18</f>
        <v>8</v>
      </c>
      <c r="O18" s="4" t="n">
        <f aca="false">(H18+I18*0.75)*K18</f>
        <v>8</v>
      </c>
    </row>
    <row r="19" customFormat="false" ht="15" hidden="false" customHeight="false" outlineLevel="0" collapsed="false">
      <c r="A19" s="6" t="s">
        <v>209</v>
      </c>
      <c r="B19" s="6" t="s">
        <v>182</v>
      </c>
      <c r="C19" s="6" t="s">
        <v>102</v>
      </c>
      <c r="D19" s="6" t="n">
        <v>35</v>
      </c>
      <c r="E19" s="6" t="n">
        <v>35</v>
      </c>
      <c r="F19" s="6" t="n">
        <v>35</v>
      </c>
      <c r="G19" s="6" t="n">
        <v>0</v>
      </c>
      <c r="H19" s="6" t="n">
        <v>34</v>
      </c>
      <c r="I19" s="6" t="n">
        <v>1</v>
      </c>
      <c r="J19" s="6" t="s">
        <v>210</v>
      </c>
      <c r="K19" s="4" t="n">
        <f aca="false">IFERROR(VLOOKUP(C19,DanhMuc!$A$2:$F$49,6,0),0)</f>
        <v>0.8</v>
      </c>
      <c r="L19" s="4" t="n">
        <f aca="false">D19*K19</f>
        <v>28</v>
      </c>
      <c r="M19" s="4" t="n">
        <f aca="false">E19*K19</f>
        <v>28</v>
      </c>
      <c r="N19" s="4" t="n">
        <f aca="false">(F19+G19*0.75)*K19</f>
        <v>28</v>
      </c>
      <c r="O19" s="4" t="n">
        <f aca="false">(H19+I19*0.75)*K19</f>
        <v>27.8</v>
      </c>
    </row>
    <row r="20" customFormat="false" ht="15" hidden="false" customHeight="false" outlineLevel="0" collapsed="false">
      <c r="A20" s="6" t="s">
        <v>209</v>
      </c>
      <c r="B20" s="6" t="s">
        <v>182</v>
      </c>
      <c r="C20" s="6" t="s">
        <v>105</v>
      </c>
      <c r="D20" s="6" t="n">
        <v>12</v>
      </c>
      <c r="E20" s="6" t="n">
        <v>11</v>
      </c>
      <c r="F20" s="6" t="n">
        <v>11</v>
      </c>
      <c r="G20" s="6" t="n">
        <v>0</v>
      </c>
      <c r="H20" s="6" t="n">
        <v>11</v>
      </c>
      <c r="I20" s="6" t="n">
        <v>0</v>
      </c>
      <c r="J20" s="6" t="s">
        <v>210</v>
      </c>
      <c r="K20" s="4" t="n">
        <f aca="false">IFERROR(VLOOKUP(C20,DanhMuc!$A$2:$F$49,6,0),0)</f>
        <v>0.9</v>
      </c>
      <c r="L20" s="4" t="n">
        <f aca="false">D20*K20</f>
        <v>10.8</v>
      </c>
      <c r="M20" s="4" t="n">
        <f aca="false">E20*K20</f>
        <v>9.9</v>
      </c>
      <c r="N20" s="4" t="n">
        <f aca="false">(F20+G20*0.75)*K20</f>
        <v>9.9</v>
      </c>
      <c r="O20" s="4" t="n">
        <f aca="false">(H20+I20*0.75)*K20</f>
        <v>9.9</v>
      </c>
    </row>
    <row r="21" customFormat="false" ht="15" hidden="false" customHeight="false" outlineLevel="0" collapsed="false">
      <c r="A21" s="6" t="s">
        <v>209</v>
      </c>
      <c r="B21" s="6" t="s">
        <v>185</v>
      </c>
      <c r="C21" s="6" t="s">
        <v>143</v>
      </c>
      <c r="D21" s="6" t="n">
        <v>18</v>
      </c>
      <c r="E21" s="6" t="n">
        <v>18</v>
      </c>
      <c r="F21" s="6" t="n">
        <v>18</v>
      </c>
      <c r="G21" s="6" t="n">
        <v>0</v>
      </c>
      <c r="H21" s="6" t="n">
        <v>18</v>
      </c>
      <c r="I21" s="6" t="n">
        <v>0</v>
      </c>
      <c r="J21" s="6" t="s">
        <v>210</v>
      </c>
      <c r="K21" s="4" t="n">
        <f aca="false">IFERROR(VLOOKUP(C21,DanhMuc!$A$2:$F$49,6,0),0)</f>
        <v>0.9</v>
      </c>
      <c r="L21" s="4" t="n">
        <f aca="false">D21*K21</f>
        <v>16.2</v>
      </c>
      <c r="M21" s="4" t="n">
        <f aca="false">E21*K21</f>
        <v>16.2</v>
      </c>
      <c r="N21" s="4" t="n">
        <f aca="false">(F21+G21*0.75)*K21</f>
        <v>16.2</v>
      </c>
      <c r="O21" s="4" t="n">
        <f aca="false">(H21+I21*0.75)*K21</f>
        <v>16.2</v>
      </c>
    </row>
    <row r="22" customFormat="false" ht="15" hidden="false" customHeight="false" outlineLevel="0" collapsed="false">
      <c r="A22" s="6" t="s">
        <v>209</v>
      </c>
      <c r="B22" s="6" t="s">
        <v>185</v>
      </c>
      <c r="C22" s="6" t="s">
        <v>139</v>
      </c>
      <c r="D22" s="6" t="n">
        <v>6</v>
      </c>
      <c r="E22" s="6" t="n">
        <v>6</v>
      </c>
      <c r="F22" s="6" t="n">
        <v>6</v>
      </c>
      <c r="G22" s="6" t="n">
        <v>0</v>
      </c>
      <c r="H22" s="6" t="n">
        <v>6</v>
      </c>
      <c r="I22" s="6" t="n">
        <v>0</v>
      </c>
      <c r="J22" s="6" t="s">
        <v>210</v>
      </c>
      <c r="K22" s="4" t="n">
        <f aca="false">IFERROR(VLOOKUP(C22,DanhMuc!$A$2:$F$49,6,0),0)</f>
        <v>0.8</v>
      </c>
      <c r="L22" s="4" t="n">
        <f aca="false">D22*K22</f>
        <v>4.8</v>
      </c>
      <c r="M22" s="4" t="n">
        <f aca="false">E22*K22</f>
        <v>4.8</v>
      </c>
      <c r="N22" s="4" t="n">
        <f aca="false">(F22+G22*0.75)*K22</f>
        <v>4.8</v>
      </c>
      <c r="O22" s="4" t="n">
        <f aca="false">(H22+I22*0.75)*K22</f>
        <v>4.8</v>
      </c>
    </row>
    <row r="23" customFormat="false" ht="15" hidden="false" customHeight="false" outlineLevel="0" collapsed="false">
      <c r="A23" s="6" t="s">
        <v>209</v>
      </c>
      <c r="B23" s="6" t="s">
        <v>189</v>
      </c>
      <c r="C23" s="6" t="s">
        <v>149</v>
      </c>
      <c r="D23" s="6" t="n">
        <v>22</v>
      </c>
      <c r="E23" s="6" t="n">
        <v>22</v>
      </c>
      <c r="F23" s="6" t="n">
        <v>22</v>
      </c>
      <c r="G23" s="6" t="n">
        <v>0</v>
      </c>
      <c r="H23" s="6" t="n">
        <v>21</v>
      </c>
      <c r="I23" s="6" t="n">
        <v>1</v>
      </c>
      <c r="J23" s="6" t="s">
        <v>210</v>
      </c>
      <c r="K23" s="4" t="n">
        <f aca="false">IFERROR(VLOOKUP(C23,DanhMuc!$A$2:$F$49,6,0),0)</f>
        <v>0.8</v>
      </c>
      <c r="L23" s="4" t="n">
        <f aca="false">D23*K23</f>
        <v>17.6</v>
      </c>
      <c r="M23" s="4" t="n">
        <f aca="false">E23*K23</f>
        <v>17.6</v>
      </c>
      <c r="N23" s="4" t="n">
        <f aca="false">(F23+G23*0.75)*K23</f>
        <v>17.6</v>
      </c>
      <c r="O23" s="4" t="n">
        <f aca="false">(H23+I23*0.75)*K23</f>
        <v>17.4</v>
      </c>
    </row>
    <row r="24" customFormat="false" ht="15" hidden="false" customHeight="false" outlineLevel="0" collapsed="false">
      <c r="A24" s="6" t="s">
        <v>209</v>
      </c>
      <c r="B24" s="6" t="s">
        <v>189</v>
      </c>
      <c r="C24" s="6" t="s">
        <v>154</v>
      </c>
      <c r="D24" s="6" t="n">
        <v>5</v>
      </c>
      <c r="E24" s="6" t="n">
        <v>5</v>
      </c>
      <c r="F24" s="6" t="n">
        <v>5</v>
      </c>
      <c r="G24" s="6" t="n">
        <v>0</v>
      </c>
      <c r="H24" s="6" t="n">
        <v>5</v>
      </c>
      <c r="I24" s="6" t="n">
        <v>0</v>
      </c>
      <c r="J24" s="6" t="s">
        <v>210</v>
      </c>
      <c r="K24" s="4" t="n">
        <f aca="false">IFERROR(VLOOKUP(C24,DanhMuc!$A$2:$F$49,6,0),0)</f>
        <v>0.9</v>
      </c>
      <c r="L24" s="4" t="n">
        <f aca="false">D24*K24</f>
        <v>4.5</v>
      </c>
      <c r="M24" s="4" t="n">
        <f aca="false">E24*K24</f>
        <v>4.5</v>
      </c>
      <c r="N24" s="4" t="n">
        <f aca="false">(F24+G24*0.75)*K24</f>
        <v>4.5</v>
      </c>
      <c r="O24" s="4" t="n">
        <f aca="false">(H24+I24*0.75)*K24</f>
        <v>4.5</v>
      </c>
    </row>
    <row r="25" customFormat="false" ht="15" hidden="false" customHeight="false" outlineLevel="0" collapsed="false">
      <c r="A25" s="6" t="s">
        <v>209</v>
      </c>
      <c r="B25" s="6" t="s">
        <v>189</v>
      </c>
      <c r="C25" s="6" t="s">
        <v>139</v>
      </c>
      <c r="D25" s="6" t="n">
        <v>4</v>
      </c>
      <c r="E25" s="6" t="n">
        <v>4</v>
      </c>
      <c r="F25" s="6" t="n">
        <v>3</v>
      </c>
      <c r="G25" s="6" t="n">
        <v>1</v>
      </c>
      <c r="H25" s="6" t="n">
        <v>4</v>
      </c>
      <c r="I25" s="6" t="n">
        <v>0</v>
      </c>
      <c r="J25" s="6" t="s">
        <v>210</v>
      </c>
      <c r="K25" s="4" t="n">
        <f aca="false">IFERROR(VLOOKUP(C25,DanhMuc!$A$2:$F$49,6,0),0)</f>
        <v>0.8</v>
      </c>
      <c r="L25" s="4" t="n">
        <f aca="false">D25*K25</f>
        <v>3.2</v>
      </c>
      <c r="M25" s="4" t="n">
        <f aca="false">E25*K25</f>
        <v>3.2</v>
      </c>
      <c r="N25" s="4" t="n">
        <f aca="false">(F25+G25*0.75)*K25</f>
        <v>3</v>
      </c>
      <c r="O25" s="4" t="n">
        <f aca="false">(H25+I25*0.75)*K25</f>
        <v>3.2</v>
      </c>
    </row>
  </sheetData>
  <dataValidations count="2">
    <dataValidation allowBlank="false" errorStyle="stop" operator="between" showDropDown="false" showErrorMessage="false" showInputMessage="false" sqref="B2:B200" type="list">
      <formula1>NhanSu!$A$2:$A$9</formula1>
      <formula2>0</formula2>
    </dataValidation>
    <dataValidation allowBlank="false" errorStyle="stop" operator="between" showDropDown="false" showErrorMessage="false" showInputMessage="false" sqref="C2:C200" type="list">
      <formula1>DanhMuc!$A$2:$A$49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0"/>
    <col collapsed="false" customWidth="true" hidden="false" outlineLevel="0" max="6" min="4" style="0" width="13"/>
    <col collapsed="false" customWidth="true" hidden="false" outlineLevel="0" max="9" min="7" style="0" width="10"/>
    <col collapsed="false" customWidth="true" hidden="false" outlineLevel="0" max="10" min="10" style="0" width="11"/>
    <col collapsed="false" customWidth="true" hidden="false" outlineLevel="0" max="11" min="11" style="0" width="14"/>
    <col collapsed="false" customWidth="true" hidden="false" outlineLevel="0" max="12" min="12" style="0" width="10"/>
    <col collapsed="false" customWidth="true" hidden="false" outlineLevel="0" max="13" min="13" style="0" width="13"/>
    <col collapsed="false" customWidth="true" hidden="false" outlineLevel="0" max="14" min="14" style="0" width="24"/>
  </cols>
  <sheetData>
    <row r="1" customFormat="false" ht="25.35" hidden="false" customHeight="false" outlineLevel="0" collapsed="false">
      <c r="A1" s="1" t="s">
        <v>212</v>
      </c>
      <c r="B1" s="6" t="s">
        <v>209</v>
      </c>
    </row>
    <row r="3" customFormat="false" ht="25.35" hidden="false" customHeight="false" outlineLevel="0" collapsed="false">
      <c r="A3" s="3" t="s">
        <v>157</v>
      </c>
      <c r="B3" s="3" t="s">
        <v>158</v>
      </c>
      <c r="C3" s="3" t="s">
        <v>192</v>
      </c>
      <c r="D3" s="3" t="s">
        <v>213</v>
      </c>
      <c r="E3" s="3" t="s">
        <v>214</v>
      </c>
      <c r="F3" s="3" t="s">
        <v>215</v>
      </c>
      <c r="G3" s="3" t="s">
        <v>216</v>
      </c>
      <c r="H3" s="3" t="s">
        <v>217</v>
      </c>
      <c r="I3" s="3" t="s">
        <v>218</v>
      </c>
      <c r="J3" s="3" t="s">
        <v>219</v>
      </c>
      <c r="K3" s="3" t="s">
        <v>220</v>
      </c>
      <c r="L3" s="3" t="s">
        <v>195</v>
      </c>
      <c r="M3" s="3" t="s">
        <v>221</v>
      </c>
      <c r="N3" s="3" t="s">
        <v>222</v>
      </c>
    </row>
    <row r="4" customFormat="false" ht="15" hidden="false" customHeight="false" outlineLevel="0" collapsed="false">
      <c r="A4" s="4" t="str">
        <f aca="false">NhanSu!A2</f>
        <v>CB01</v>
      </c>
      <c r="B4" s="5" t="str">
        <f aca="false">NhanSu!B2</f>
        <v>Nguyễn Văn A</v>
      </c>
      <c r="C4" s="4" t="str">
        <f aca="false">NhanSu!D2</f>
        <v>LDQL</v>
      </c>
      <c r="D4" s="4" t="n">
        <f aca="false">MIN(100,IFERROR(SUMIFS(GiaoViec!$M$2:$M$25,GiaoViec!$B$2:$B$25,$A4,GiaoViec!$A$2:$A$25,$B$1)/SUMIFS(GiaoViec!$L$2:$L$25,GiaoViec!$B$2:$B$25,$A4,GiaoViec!$A$2:$A$25,$B$1)*100,0))</f>
        <v>100</v>
      </c>
      <c r="E4" s="4" t="n">
        <f aca="false">MIN(100,IFERROR(SUMIFS(GiaoViec!$N$2:$N$25,GiaoViec!$B$2:$B$25,$A4,GiaoViec!$A$2:$A$25,$B$1)/SUMIFS(GiaoViec!$L$2:$L$25,GiaoViec!$B$2:$B$25,$A4,GiaoViec!$A$2:$A$25,$B$1)*100,0))</f>
        <v>100</v>
      </c>
      <c r="F4" s="4" t="n">
        <f aca="false">MIN(100,IFERROR(SUMIFS(GiaoViec!$O$2:$O$25,GiaoViec!$B$2:$B$25,$A4,GiaoViec!$A$2:$A$25,$B$1)/SUMIFS(GiaoViec!$L$2:$L$25,GiaoViec!$B$2:$B$25,$A4,GiaoViec!$A$2:$A$25,$B$1)*100,0))</f>
        <v>99.3389423076923</v>
      </c>
      <c r="G4" s="6" t="n">
        <v>100</v>
      </c>
      <c r="H4" s="6" t="n">
        <v>100</v>
      </c>
      <c r="I4" s="6" t="n">
        <v>100</v>
      </c>
      <c r="J4" s="4" t="n">
        <f aca="false">ROUND(IF(C4="LDQL",(D4+E4+F4+G4+H4+I4)/6,(D4+E4+F4)/3),2)</f>
        <v>99.89</v>
      </c>
      <c r="K4" s="4" t="n">
        <f aca="false">VLOOKUP(A4,TieuChiChung!$A$2:$F$9,5,0)</f>
        <v>28</v>
      </c>
      <c r="L4" s="4" t="n">
        <f aca="false">VLOOKUP(A4,TieuChiChung!$A$2:$F$9,6,0)</f>
        <v>0</v>
      </c>
      <c r="M4" s="4" t="n">
        <f aca="false">ROUND(K4+J4*0.7-L4,2)</f>
        <v>97.92</v>
      </c>
      <c r="N4" s="8" t="str">
        <f aca="false">IF(M4&gt;=90,"A - Hoàn thành xuất sắc",IF(M4&gt;=70,"B - Hoàn thành tốt",IF(M4&gt;=50,"C - Hoàn thành","D - Không hoàn thành")))</f>
        <v>A - Hoàn thành xuất sắc</v>
      </c>
    </row>
    <row r="5" customFormat="false" ht="15" hidden="false" customHeight="false" outlineLevel="0" collapsed="false">
      <c r="A5" s="4" t="str">
        <f aca="false">NhanSu!A3</f>
        <v>CB02</v>
      </c>
      <c r="B5" s="5" t="str">
        <f aca="false">NhanSu!B3</f>
        <v>Trần Thị B</v>
      </c>
      <c r="C5" s="4" t="str">
        <f aca="false">NhanSu!D3</f>
        <v>LDQL</v>
      </c>
      <c r="D5" s="4" t="n">
        <f aca="false">MIN(100,IFERROR(SUMIFS(GiaoViec!$M$2:$M$25,GiaoViec!$B$2:$B$25,$A5,GiaoViec!$A$2:$A$25,$B$1)/SUMIFS(GiaoViec!$L$2:$L$25,GiaoViec!$B$2:$B$25,$A5,GiaoViec!$A$2:$A$25,$B$1)*100,0))</f>
        <v>100</v>
      </c>
      <c r="E5" s="4" t="n">
        <f aca="false">MIN(100,IFERROR(SUMIFS(GiaoViec!$N$2:$N$25,GiaoViec!$B$2:$B$25,$A5,GiaoViec!$A$2:$A$25,$B$1)/SUMIFS(GiaoViec!$L$2:$L$25,GiaoViec!$B$2:$B$25,$A5,GiaoViec!$A$2:$A$25,$B$1)*100,0))</f>
        <v>95.8677685950413</v>
      </c>
      <c r="F5" s="4" t="n">
        <f aca="false">MIN(100,IFERROR(SUMIFS(GiaoViec!$O$2:$O$25,GiaoViec!$B$2:$B$25,$A5,GiaoViec!$A$2:$A$25,$B$1)/SUMIFS(GiaoViec!$L$2:$L$25,GiaoViec!$B$2:$B$25,$A5,GiaoViec!$A$2:$A$25,$B$1)*100,0))</f>
        <v>95.8677685950413</v>
      </c>
      <c r="G5" s="6" t="n">
        <v>100</v>
      </c>
      <c r="H5" s="6" t="n">
        <v>50</v>
      </c>
      <c r="I5" s="6" t="n">
        <v>100</v>
      </c>
      <c r="J5" s="4" t="n">
        <f aca="false">ROUND(IF(C5="LDQL",(D5+E5+F5+G5+H5+I5)/6,(D5+E5+F5)/3),2)</f>
        <v>90.29</v>
      </c>
      <c r="K5" s="4" t="n">
        <f aca="false">VLOOKUP(A5,TieuChiChung!$A$2:$F$9,5,0)</f>
        <v>27</v>
      </c>
      <c r="L5" s="4" t="n">
        <f aca="false">VLOOKUP(A5,TieuChiChung!$A$2:$F$9,6,0)</f>
        <v>0</v>
      </c>
      <c r="M5" s="4" t="n">
        <f aca="false">ROUND(K5+J5*0.7-L5,2)</f>
        <v>90.2</v>
      </c>
      <c r="N5" s="8" t="str">
        <f aca="false">IF(M5&gt;=90,"A - Hoàn thành xuất sắc",IF(M5&gt;=70,"B - Hoàn thành tốt",IF(M5&gt;=50,"C - Hoàn thành","D - Không hoàn thành")))</f>
        <v>A - Hoàn thành xuất sắc</v>
      </c>
    </row>
    <row r="6" customFormat="false" ht="15" hidden="false" customHeight="false" outlineLevel="0" collapsed="false">
      <c r="A6" s="4" t="str">
        <f aca="false">NhanSu!A4</f>
        <v>CB03</v>
      </c>
      <c r="B6" s="5" t="str">
        <f aca="false">NhanSu!B4</f>
        <v>Lê Văn C</v>
      </c>
      <c r="C6" s="4" t="str">
        <f aca="false">NhanSu!D4</f>
        <v>CMNV</v>
      </c>
      <c r="D6" s="4" t="n">
        <f aca="false">MIN(100,IFERROR(SUMIFS(GiaoViec!$M$2:$M$25,GiaoViec!$B$2:$B$25,$A6,GiaoViec!$A$2:$A$25,$B$1)/SUMIFS(GiaoViec!$L$2:$L$25,GiaoViec!$B$2:$B$25,$A6,GiaoViec!$A$2:$A$25,$B$1)*100,0))</f>
        <v>97.7011494252874</v>
      </c>
      <c r="E6" s="4" t="n">
        <f aca="false">MIN(100,IFERROR(SUMIFS(GiaoViec!$N$2:$N$25,GiaoViec!$B$2:$B$25,$A6,GiaoViec!$A$2:$A$25,$B$1)/SUMIFS(GiaoViec!$L$2:$L$25,GiaoViec!$B$2:$B$25,$A6,GiaoViec!$A$2:$A$25,$B$1)*100,0))</f>
        <v>97.183908045977</v>
      </c>
      <c r="F6" s="4" t="n">
        <f aca="false">MIN(100,IFERROR(SUMIFS(GiaoViec!$O$2:$O$25,GiaoViec!$B$2:$B$25,$A6,GiaoViec!$A$2:$A$25,$B$1)/SUMIFS(GiaoViec!$L$2:$L$25,GiaoViec!$B$2:$B$25,$A6,GiaoViec!$A$2:$A$25,$B$1)*100,0))</f>
        <v>96.551724137931</v>
      </c>
      <c r="G6" s="4"/>
      <c r="H6" s="4"/>
      <c r="I6" s="4"/>
      <c r="J6" s="4" t="n">
        <f aca="false">ROUND(IF(C6="LDQL",(D6+E6+F6+G6+H6+I6)/6,(D6+E6+F6)/3),2)</f>
        <v>97.15</v>
      </c>
      <c r="K6" s="4" t="n">
        <f aca="false">VLOOKUP(A6,TieuChiChung!$A$2:$F$9,5,0)</f>
        <v>27</v>
      </c>
      <c r="L6" s="4" t="n">
        <f aca="false">VLOOKUP(A6,TieuChiChung!$A$2:$F$9,6,0)</f>
        <v>0</v>
      </c>
      <c r="M6" s="4" t="n">
        <f aca="false">ROUND(K6+J6*0.7-L6,2)</f>
        <v>95.01</v>
      </c>
      <c r="N6" s="8" t="str">
        <f aca="false">IF(M6&gt;=90,"A - Hoàn thành xuất sắc",IF(M6&gt;=70,"B - Hoàn thành tốt",IF(M6&gt;=50,"C - Hoàn thành","D - Không hoàn thành")))</f>
        <v>A - Hoàn thành xuất sắc</v>
      </c>
    </row>
    <row r="7" customFormat="false" ht="15" hidden="false" customHeight="false" outlineLevel="0" collapsed="false">
      <c r="A7" s="4" t="str">
        <f aca="false">NhanSu!A5</f>
        <v>CB04</v>
      </c>
      <c r="B7" s="5" t="str">
        <f aca="false">NhanSu!B5</f>
        <v>Phạm Thị D</v>
      </c>
      <c r="C7" s="4" t="str">
        <f aca="false">NhanSu!D5</f>
        <v>CMNV</v>
      </c>
      <c r="D7" s="4" t="n">
        <f aca="false">MIN(100,IFERROR(SUMIFS(GiaoViec!$M$2:$M$25,GiaoViec!$B$2:$B$25,$A7,GiaoViec!$A$2:$A$25,$B$1)/SUMIFS(GiaoViec!$L$2:$L$25,GiaoViec!$B$2:$B$25,$A7,GiaoViec!$A$2:$A$25,$B$1)*100,0))</f>
        <v>100</v>
      </c>
      <c r="E7" s="4" t="n">
        <f aca="false">MIN(100,IFERROR(SUMIFS(GiaoViec!$N$2:$N$25,GiaoViec!$B$2:$B$25,$A7,GiaoViec!$A$2:$A$25,$B$1)/SUMIFS(GiaoViec!$L$2:$L$25,GiaoViec!$B$2:$B$25,$A7,GiaoViec!$A$2:$A$25,$B$1)*100,0))</f>
        <v>93.9102564102564</v>
      </c>
      <c r="F7" s="4" t="n">
        <f aca="false">MIN(100,IFERROR(SUMIFS(GiaoViec!$O$2:$O$25,GiaoViec!$B$2:$B$25,$A7,GiaoViec!$A$2:$A$25,$B$1)/SUMIFS(GiaoViec!$L$2:$L$25,GiaoViec!$B$2:$B$25,$A7,GiaoViec!$A$2:$A$25,$B$1)*100,0))</f>
        <v>100</v>
      </c>
      <c r="G7" s="4"/>
      <c r="H7" s="4"/>
      <c r="I7" s="4"/>
      <c r="J7" s="4" t="n">
        <f aca="false">ROUND(IF(C7="LDQL",(D7+E7+F7+G7+H7+I7)/6,(D7+E7+F7)/3),2)</f>
        <v>97.97</v>
      </c>
      <c r="K7" s="4" t="n">
        <f aca="false">VLOOKUP(A7,TieuChiChung!$A$2:$F$9,5,0)</f>
        <v>26</v>
      </c>
      <c r="L7" s="4" t="n">
        <f aca="false">VLOOKUP(A7,TieuChiChung!$A$2:$F$9,6,0)</f>
        <v>0</v>
      </c>
      <c r="M7" s="4" t="n">
        <f aca="false">ROUND(K7+J7*0.7-L7,2)</f>
        <v>94.58</v>
      </c>
      <c r="N7" s="8" t="str">
        <f aca="false">IF(M7&gt;=90,"A - Hoàn thành xuất sắc",IF(M7&gt;=70,"B - Hoàn thành tốt",IF(M7&gt;=50,"C - Hoàn thành","D - Không hoàn thành")))</f>
        <v>A - Hoàn thành xuất sắc</v>
      </c>
    </row>
    <row r="8" customFormat="false" ht="15" hidden="false" customHeight="false" outlineLevel="0" collapsed="false">
      <c r="A8" s="4" t="str">
        <f aca="false">NhanSu!A6</f>
        <v>CB05</v>
      </c>
      <c r="B8" s="5" t="str">
        <f aca="false">NhanSu!B6</f>
        <v>Hoàng Văn E</v>
      </c>
      <c r="C8" s="4" t="str">
        <f aca="false">NhanSu!D6</f>
        <v>CMNV</v>
      </c>
      <c r="D8" s="4" t="n">
        <f aca="false">MIN(100,IFERROR(SUMIFS(GiaoViec!$M$2:$M$25,GiaoViec!$B$2:$B$25,$A8,GiaoViec!$A$2:$A$25,$B$1)/SUMIFS(GiaoViec!$L$2:$L$25,GiaoViec!$B$2:$B$25,$A8,GiaoViec!$A$2:$A$25,$B$1)*100,0))</f>
        <v>100</v>
      </c>
      <c r="E8" s="4" t="n">
        <f aca="false">MIN(100,IFERROR(SUMIFS(GiaoViec!$N$2:$N$25,GiaoViec!$B$2:$B$25,$A8,GiaoViec!$A$2:$A$25,$B$1)/SUMIFS(GiaoViec!$L$2:$L$25,GiaoViec!$B$2:$B$25,$A8,GiaoViec!$A$2:$A$25,$B$1)*100,0))</f>
        <v>100</v>
      </c>
      <c r="F8" s="4" t="n">
        <f aca="false">MIN(100,IFERROR(SUMIFS(GiaoViec!$O$2:$O$25,GiaoViec!$B$2:$B$25,$A8,GiaoViec!$A$2:$A$25,$B$1)/SUMIFS(GiaoViec!$L$2:$L$25,GiaoViec!$B$2:$B$25,$A8,GiaoViec!$A$2:$A$25,$B$1)*100,0))</f>
        <v>100</v>
      </c>
      <c r="G8" s="4"/>
      <c r="H8" s="4"/>
      <c r="I8" s="4"/>
      <c r="J8" s="4" t="n">
        <f aca="false">ROUND(IF(C8="LDQL",(D8+E8+F8+G8+H8+I8)/6,(D8+E8+F8)/3),2)</f>
        <v>100</v>
      </c>
      <c r="K8" s="4" t="n">
        <f aca="false">VLOOKUP(A8,TieuChiChung!$A$2:$F$9,5,0)</f>
        <v>27</v>
      </c>
      <c r="L8" s="4" t="n">
        <f aca="false">VLOOKUP(A8,TieuChiChung!$A$2:$F$9,6,0)</f>
        <v>0</v>
      </c>
      <c r="M8" s="4" t="n">
        <f aca="false">ROUND(K8+J8*0.7-L8,2)</f>
        <v>97</v>
      </c>
      <c r="N8" s="8" t="str">
        <f aca="false">IF(M8&gt;=90,"A - Hoàn thành xuất sắc",IF(M8&gt;=70,"B - Hoàn thành tốt",IF(M8&gt;=50,"C - Hoàn thành","D - Không hoàn thành")))</f>
        <v>A - Hoàn thành xuất sắc</v>
      </c>
    </row>
    <row r="9" customFormat="false" ht="15" hidden="false" customHeight="false" outlineLevel="0" collapsed="false">
      <c r="A9" s="4" t="str">
        <f aca="false">NhanSu!A7</f>
        <v>CB06</v>
      </c>
      <c r="B9" s="5" t="str">
        <f aca="false">NhanSu!B7</f>
        <v>Vũ Thị G</v>
      </c>
      <c r="C9" s="4" t="str">
        <f aca="false">NhanSu!D7</f>
        <v>CMNV</v>
      </c>
      <c r="D9" s="4" t="n">
        <f aca="false">MIN(100,IFERROR(SUMIFS(GiaoViec!$M$2:$M$25,GiaoViec!$B$2:$B$25,$A9,GiaoViec!$A$2:$A$25,$B$1)/SUMIFS(GiaoViec!$L$2:$L$25,GiaoViec!$B$2:$B$25,$A9,GiaoViec!$A$2:$A$25,$B$1)*100,0))</f>
        <v>97.680412371134</v>
      </c>
      <c r="E9" s="4" t="n">
        <f aca="false">MIN(100,IFERROR(SUMIFS(GiaoViec!$N$2:$N$25,GiaoViec!$B$2:$B$25,$A9,GiaoViec!$A$2:$A$25,$B$1)/SUMIFS(GiaoViec!$L$2:$L$25,GiaoViec!$B$2:$B$25,$A9,GiaoViec!$A$2:$A$25,$B$1)*100,0))</f>
        <v>97.680412371134</v>
      </c>
      <c r="F9" s="4" t="n">
        <f aca="false">MIN(100,IFERROR(SUMIFS(GiaoViec!$O$2:$O$25,GiaoViec!$B$2:$B$25,$A9,GiaoViec!$A$2:$A$25,$B$1)/SUMIFS(GiaoViec!$L$2:$L$25,GiaoViec!$B$2:$B$25,$A9,GiaoViec!$A$2:$A$25,$B$1)*100,0))</f>
        <v>97.1649484536083</v>
      </c>
      <c r="G9" s="4"/>
      <c r="H9" s="4"/>
      <c r="I9" s="4"/>
      <c r="J9" s="4" t="n">
        <f aca="false">ROUND(IF(C9="LDQL",(D9+E9+F9+G9+H9+I9)/6,(D9+E9+F9)/3),2)</f>
        <v>97.51</v>
      </c>
      <c r="K9" s="4" t="n">
        <f aca="false">VLOOKUP(A9,TieuChiChung!$A$2:$F$9,5,0)</f>
        <v>26</v>
      </c>
      <c r="L9" s="4" t="n">
        <f aca="false">VLOOKUP(A9,TieuChiChung!$A$2:$F$9,6,0)</f>
        <v>0</v>
      </c>
      <c r="M9" s="4" t="n">
        <f aca="false">ROUND(K9+J9*0.7-L9,2)</f>
        <v>94.26</v>
      </c>
      <c r="N9" s="8" t="str">
        <f aca="false">IF(M9&gt;=90,"A - Hoàn thành xuất sắc",IF(M9&gt;=70,"B - Hoàn thành tốt",IF(M9&gt;=50,"C - Hoàn thành","D - Không hoàn thành")))</f>
        <v>A - Hoàn thành xuất sắc</v>
      </c>
    </row>
    <row r="10" customFormat="false" ht="15" hidden="false" customHeight="false" outlineLevel="0" collapsed="false">
      <c r="A10" s="4" t="str">
        <f aca="false">NhanSu!A8</f>
        <v>CB07</v>
      </c>
      <c r="B10" s="5" t="str">
        <f aca="false">NhanSu!B8</f>
        <v>Đỗ Văn H</v>
      </c>
      <c r="C10" s="4" t="str">
        <f aca="false">NhanSu!D8</f>
        <v>HTPV</v>
      </c>
      <c r="D10" s="4" t="n">
        <f aca="false">MIN(100,IFERROR(SUMIFS(GiaoViec!$M$2:$M$25,GiaoViec!$B$2:$B$25,$A10,GiaoViec!$A$2:$A$25,$B$1)/SUMIFS(GiaoViec!$L$2:$L$25,GiaoViec!$B$2:$B$25,$A10,GiaoViec!$A$2:$A$25,$B$1)*100,0))</f>
        <v>100</v>
      </c>
      <c r="E10" s="4" t="n">
        <f aca="false">MIN(100,IFERROR(SUMIFS(GiaoViec!$N$2:$N$25,GiaoViec!$B$2:$B$25,$A10,GiaoViec!$A$2:$A$25,$B$1)/SUMIFS(GiaoViec!$L$2:$L$25,GiaoViec!$B$2:$B$25,$A10,GiaoViec!$A$2:$A$25,$B$1)*100,0))</f>
        <v>100</v>
      </c>
      <c r="F10" s="4" t="n">
        <f aca="false">MIN(100,IFERROR(SUMIFS(GiaoViec!$O$2:$O$25,GiaoViec!$B$2:$B$25,$A10,GiaoViec!$A$2:$A$25,$B$1)/SUMIFS(GiaoViec!$L$2:$L$25,GiaoViec!$B$2:$B$25,$A10,GiaoViec!$A$2:$A$25,$B$1)*100,0))</f>
        <v>100</v>
      </c>
      <c r="G10" s="4"/>
      <c r="H10" s="4"/>
      <c r="I10" s="4"/>
      <c r="J10" s="4" t="n">
        <f aca="false">ROUND(IF(C10="LDQL",(D10+E10+F10+G10+H10+I10)/6,(D10+E10+F10)/3),2)</f>
        <v>100</v>
      </c>
      <c r="K10" s="4" t="n">
        <f aca="false">VLOOKUP(A10,TieuChiChung!$A$2:$F$9,5,0)</f>
        <v>27</v>
      </c>
      <c r="L10" s="4" t="n">
        <f aca="false">VLOOKUP(A10,TieuChiChung!$A$2:$F$9,6,0)</f>
        <v>0</v>
      </c>
      <c r="M10" s="4" t="n">
        <f aca="false">ROUND(K10+J10*0.7-L10,2)</f>
        <v>97</v>
      </c>
      <c r="N10" s="8" t="str">
        <f aca="false">IF(M10&gt;=90,"A - Hoàn thành xuất sắc",IF(M10&gt;=70,"B - Hoàn thành tốt",IF(M10&gt;=50,"C - Hoàn thành","D - Không hoàn thành")))</f>
        <v>A - Hoàn thành xuất sắc</v>
      </c>
    </row>
    <row r="11" customFormat="false" ht="15" hidden="false" customHeight="false" outlineLevel="0" collapsed="false">
      <c r="A11" s="4" t="str">
        <f aca="false">NhanSu!A9</f>
        <v>CB08</v>
      </c>
      <c r="B11" s="5" t="str">
        <f aca="false">NhanSu!B9</f>
        <v>Ngô Thị K</v>
      </c>
      <c r="C11" s="4" t="str">
        <f aca="false">NhanSu!D9</f>
        <v>HTPV</v>
      </c>
      <c r="D11" s="4" t="n">
        <f aca="false">MIN(100,IFERROR(SUMIFS(GiaoViec!$M$2:$M$25,GiaoViec!$B$2:$B$25,$A11,GiaoViec!$A$2:$A$25,$B$1)/SUMIFS(GiaoViec!$L$2:$L$25,GiaoViec!$B$2:$B$25,$A11,GiaoViec!$A$2:$A$25,$B$1)*100,0))</f>
        <v>100</v>
      </c>
      <c r="E11" s="4" t="n">
        <f aca="false">MIN(100,IFERROR(SUMIFS(GiaoViec!$N$2:$N$25,GiaoViec!$B$2:$B$25,$A11,GiaoViec!$A$2:$A$25,$B$1)/SUMIFS(GiaoViec!$L$2:$L$25,GiaoViec!$B$2:$B$25,$A11,GiaoViec!$A$2:$A$25,$B$1)*100,0))</f>
        <v>99.2094861660079</v>
      </c>
      <c r="F11" s="4" t="n">
        <f aca="false">MIN(100,IFERROR(SUMIFS(GiaoViec!$O$2:$O$25,GiaoViec!$B$2:$B$25,$A11,GiaoViec!$A$2:$A$25,$B$1)/SUMIFS(GiaoViec!$L$2:$L$25,GiaoViec!$B$2:$B$25,$A11,GiaoViec!$A$2:$A$25,$B$1)*100,0))</f>
        <v>99.2094861660079</v>
      </c>
      <c r="G11" s="4"/>
      <c r="H11" s="4"/>
      <c r="I11" s="4"/>
      <c r="J11" s="4" t="n">
        <f aca="false">ROUND(IF(C11="LDQL",(D11+E11+F11+G11+H11+I11)/6,(D11+E11+F11)/3),2)</f>
        <v>99.47</v>
      </c>
      <c r="K11" s="4" t="n">
        <f aca="false">VLOOKUP(A11,TieuChiChung!$A$2:$F$9,5,0)</f>
        <v>26</v>
      </c>
      <c r="L11" s="4" t="n">
        <f aca="false">VLOOKUP(A11,TieuChiChung!$A$2:$F$9,6,0)</f>
        <v>0</v>
      </c>
      <c r="M11" s="4" t="n">
        <f aca="false">ROUND(K11+J11*0.7-L11,2)</f>
        <v>95.63</v>
      </c>
      <c r="N11" s="8" t="str">
        <f aca="false">IF(M11&gt;=90,"A - Hoàn thành xuất sắc",IF(M11&gt;=70,"B - Hoàn thành tốt",IF(M11&gt;=50,"C - Hoàn thành","D - Không hoàn thành")))</f>
        <v>A - Hoàn thành xuất sắc</v>
      </c>
    </row>
    <row r="13" customFormat="false" ht="25.35" hidden="false" customHeight="true" outlineLevel="0" collapsed="false">
      <c r="A13" s="9" t="s">
        <v>223</v>
      </c>
      <c r="B13" s="9"/>
      <c r="C13" s="9"/>
      <c r="D13" s="9"/>
      <c r="E13" s="9"/>
      <c r="F13" s="9"/>
      <c r="G13" s="9"/>
      <c r="H13" s="9"/>
      <c r="I13" s="9"/>
      <c r="J13" s="9"/>
      <c r="K13" s="9"/>
      <c r="L13" s="9"/>
      <c r="M13" s="9"/>
      <c r="N13" s="9"/>
    </row>
  </sheetData>
  <mergeCells count="1">
    <mergeCell ref="A13:N13"/>
  </mergeCells>
  <dataValidations count="1">
    <dataValidation allowBlank="true" errorStyle="stop" operator="between" showDropDown="false" showErrorMessage="false" showInputMessage="false" sqref="G4:I30" type="list">
      <formula1>"100,50"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45"/>
  </cols>
  <sheetData>
    <row r="1" customFormat="false" ht="25.35" hidden="false" customHeight="false" outlineLevel="0" collapsed="false">
      <c r="A1" s="1" t="s">
        <v>224</v>
      </c>
    </row>
    <row r="3" customFormat="false" ht="15" hidden="false" customHeight="false" outlineLevel="0" collapsed="false">
      <c r="A3" s="5" t="s">
        <v>225</v>
      </c>
      <c r="B3" s="4" t="n">
        <f aca="false">COUNTIF(KPI_TongHop!N4:N11,"A*")</f>
        <v>8</v>
      </c>
    </row>
    <row r="4" customFormat="false" ht="15" hidden="false" customHeight="false" outlineLevel="0" collapsed="false">
      <c r="A4" s="5" t="s">
        <v>226</v>
      </c>
      <c r="B4" s="4" t="n">
        <f aca="false">COUNTIF(KPI_TongHop!N4:N11,"B*")</f>
        <v>0</v>
      </c>
    </row>
    <row r="5" customFormat="false" ht="15" hidden="false" customHeight="false" outlineLevel="0" collapsed="false">
      <c r="A5" s="5" t="s">
        <v>227</v>
      </c>
      <c r="B5" s="4" t="n">
        <f aca="false">COUNTIF(KPI_TongHop!N4:N11,"C*")</f>
        <v>0</v>
      </c>
    </row>
    <row r="6" customFormat="false" ht="15" hidden="false" customHeight="false" outlineLevel="0" collapsed="false">
      <c r="A6" s="5" t="s">
        <v>228</v>
      </c>
      <c r="B6" s="4" t="n">
        <f aca="false">COUNTIF(KPI_TongHop!N4:N11,"D*")</f>
        <v>0</v>
      </c>
    </row>
    <row r="7" customFormat="false" ht="15" hidden="false" customHeight="false" outlineLevel="0" collapsed="false">
      <c r="A7" s="5" t="s">
        <v>229</v>
      </c>
      <c r="B7" s="4" t="n">
        <f aca="false">ROUNDDOWN(0.2*B4,0)</f>
        <v>0</v>
      </c>
    </row>
    <row r="8" customFormat="false" ht="25.35" hidden="false" customHeight="false" outlineLevel="0" collapsed="false">
      <c r="A8" s="5" t="s">
        <v>230</v>
      </c>
      <c r="B8" s="10" t="str">
        <f aca="false">IF(B3&gt;B7,"VƯỢT TRẦN: phải xét lại theo điểm từ cao xuống thấp","Đạt: trong giới hạn cho phép")</f>
        <v>VƯỢT TRẦN: phải xét lại theo điểm từ cao xuống thấp</v>
      </c>
    </row>
    <row r="10" customFormat="false" ht="25.35" hidden="false" customHeight="true" outlineLevel="0" collapsed="false">
      <c r="A10" s="9" t="s">
        <v>231</v>
      </c>
      <c r="B10" s="9"/>
    </row>
  </sheetData>
  <mergeCells count="1">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2026-07-02T09:18:18Z</dcterms:created>
  <dc:creator>openpyxl</dc:creator>
  <dc:description/>
  <dc:language>en-US</dc:language>
  <cp:lastModifiedBy/>
  <dcterms:modified xsi:type="dcterms:W3CDTF">2026-07-02T09:18:18Z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